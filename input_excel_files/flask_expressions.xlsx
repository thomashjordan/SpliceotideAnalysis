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rdant\PycharmProjects\LCMS_RiPP\input_excel_files\"/>
    </mc:Choice>
  </mc:AlternateContent>
  <xr:revisionPtr revIDLastSave="0" documentId="13_ncr:1_{1F9CD923-EF0E-428F-A77F-337E4B0E050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2" i="1"/>
</calcChain>
</file>

<file path=xl/sharedStrings.xml><?xml version="1.0" encoding="utf-8"?>
<sst xmlns="http://schemas.openxmlformats.org/spreadsheetml/2006/main" count="2362" uniqueCount="508">
  <si>
    <t>sample_id</t>
  </si>
  <si>
    <t>date</t>
  </si>
  <si>
    <t>experiment_id</t>
  </si>
  <si>
    <t>instrument</t>
  </si>
  <si>
    <t>program_name</t>
  </si>
  <si>
    <t>host_species</t>
  </si>
  <si>
    <t>host_strain</t>
  </si>
  <si>
    <t>maturase_plasmid</t>
  </si>
  <si>
    <t>maturase_name</t>
  </si>
  <si>
    <t>maturase_induction</t>
  </si>
  <si>
    <t>precursor_plasmid</t>
  </si>
  <si>
    <t>precursor_name</t>
  </si>
  <si>
    <t>precursor_induction</t>
  </si>
  <si>
    <t>culture_medium</t>
  </si>
  <si>
    <t>expression_temperature</t>
  </si>
  <si>
    <t>expression_scale</t>
  </si>
  <si>
    <t>expression_time</t>
  </si>
  <si>
    <t>digestion</t>
  </si>
  <si>
    <t>input_mzml_folder</t>
  </si>
  <si>
    <t>input_mzml</t>
  </si>
  <si>
    <t>output_folder_name</t>
  </si>
  <si>
    <t>peptide_sequence</t>
  </si>
  <si>
    <t>core_start</t>
  </si>
  <si>
    <t>core_end</t>
  </si>
  <si>
    <t>modified_sequences</t>
  </si>
  <si>
    <t>E. coli</t>
  </si>
  <si>
    <t>BL21(DE3) Tuner</t>
  </si>
  <si>
    <t>TJ-C-689</t>
  </si>
  <si>
    <t>HypX-HypY</t>
  </si>
  <si>
    <t>1 mM IPTG</t>
  </si>
  <si>
    <t>TB</t>
  </si>
  <si>
    <t>TJ-C-559</t>
  </si>
  <si>
    <t>PlpX-PlpY</t>
  </si>
  <si>
    <t>TJ-C-560</t>
  </si>
  <si>
    <t>TJ-C-674</t>
  </si>
  <si>
    <t>TJ-C-677</t>
  </si>
  <si>
    <t>TJ-C-680</t>
  </si>
  <si>
    <t>TJ-C-683</t>
  </si>
  <si>
    <t>TJ-C-706</t>
  </si>
  <si>
    <t>TJ-C-599</t>
  </si>
  <si>
    <t>TJ-C-710</t>
  </si>
  <si>
    <t>Thermo Q Exactive</t>
  </si>
  <si>
    <t>modifications</t>
  </si>
  <si>
    <t>("spliced", 1)</t>
  </si>
  <si>
    <t>TEV</t>
  </si>
  <si>
    <t>("spliced", 1),[("spliced",1), ("dehydrated", 1)]</t>
  </si>
  <si>
    <t>C:\Users\jordant\PycharmProjects\LCMS_RiPP\input_data_flasks</t>
  </si>
  <si>
    <t>2024_08_29_TJ_C_560_HypX_Y_TJ_C_594_HypA2_WT_trypsin.mzML</t>
  </si>
  <si>
    <t>2024_08_29_TJ_C_560_HypX_Y_TJ_C_595_HypA3_WT_trypsin.mzML</t>
  </si>
  <si>
    <t>2024_08_29_TJ_C_560_HypX_Y_TJ_C_596_HypA4_WT_trypsin.mzML</t>
  </si>
  <si>
    <t>2024_08_29_TJ_C_560_HypX_Y_TJ_C_597_HypA5_WT_trypsin.mzML</t>
  </si>
  <si>
    <t>2024_08_29_TJ_C_560_HypX_Y_TJ_C_598_HypA6_WT_trypsin.mzML</t>
  </si>
  <si>
    <t>2024_08_29_TJ_C_560_HypX_Y_TJ_C_599_HypA7_WT_trypsin.mzML</t>
  </si>
  <si>
    <t>2024_09_09_TJ_C_560_HypX_Y_TJ_C_590_HypAc_TEV_HypA1_Boc.mzML</t>
  </si>
  <si>
    <t>2024_09_09_TJ_C_560_HypX_Y_TJ_C_591_HypAc_TEV_HypA1_LQYG.mzML</t>
  </si>
  <si>
    <t>2024_09_09_TJ_C_560_HypX_Y_TJ_C_592_HypAc_TEV_PlpA3_Boc.mzML</t>
  </si>
  <si>
    <t>2024_09_09_TJ_C_560_HypX_Y_TJ_C_593_HypA1_WT_trypsin.mzML</t>
  </si>
  <si>
    <t>2024_08_29_TJ_C_560_HypX_Y_TJ_C_593_HypA1_WT_trypsin.mzML</t>
  </si>
  <si>
    <t>2024_09_09_TJ_C_560_HypX_Y_TJ_C_594_HypA2_WT_trypsin.mzML</t>
  </si>
  <si>
    <t>2024_09_09_TJ_C_560_HypX_Y_TJ_C_595_HypA3_WT_trypsin.mzML</t>
  </si>
  <si>
    <t>2024_09_09_TJ_C_560_HypX_Y_TJ_C_596_HypA4_WT_trypsin.mzML</t>
  </si>
  <si>
    <t>2024_09_09_TJ_C_560_HypX_Y_TJ_C_597_HypA5_WT_trypsin.mzML</t>
  </si>
  <si>
    <t>2024_09_09_TJ_C_560_HypX_Y_TJ_C_598_HypA6_WT_trypsin.mzML</t>
  </si>
  <si>
    <t>2024_09_09_TJ_C_560_HypX_Y_TJ_C_599_HypA7_WT_trypsin.mzML</t>
  </si>
  <si>
    <t>2024_09_25_TJ_C_560_HypX_Y__TJ_C_593_HypA1_WT_trypsin.mzML</t>
  </si>
  <si>
    <t>2024_09_25_TJ_C_560_HypX_Y_TJ_C_585_HypAc_TEV_RhaA_TEVp.mzML</t>
  </si>
  <si>
    <t>2024_09_25_TJ_C_560_HypX_Y_TJ_C_585_HypAc_TEV_RhaA_trypsin,mzML</t>
  </si>
  <si>
    <t>2024_09_25_TJ_C_560_HypX_Y_TJ_C_586_HypAc_TEV_PlpA2_TEVp.mzML</t>
  </si>
  <si>
    <t>2024_09_25_TJ_C_560_HypX_Y_TJ_C_586_HypAc_TEV_PlpA2_trypsin.mzML</t>
  </si>
  <si>
    <t>2024_09_25_TJ_C_560_HypX_Y_TJ_C_587_HypAc_TEV_PlpA3_TEVp.mzML</t>
  </si>
  <si>
    <t>2024_09_25_TJ_C_560_HypX_Y_TJ_C_587_HypAc_TEV_PlpA3_trypsin.mzML</t>
  </si>
  <si>
    <t>2024_09_25_TJ_C_560_HypX_Y_TJ_C_588_HypAc_TEV_PcpA_TEVp.mzML</t>
  </si>
  <si>
    <t>2024_09_25_TJ_C_560_HypX_Y_TJ_C_588_HypAc_TEV_PcpA_trypsin.mzML</t>
  </si>
  <si>
    <t>2024_09_25_TJ_C_560_HypX_Y_TJ_C_589_HypAc_TEV_HypA6_trunc_TEVp.mzML</t>
  </si>
  <si>
    <t>2024_09_25_TJ_C_560_HypX_Y_TJ_C_589_HypAc_TEV_HypA6_trunc_trypsin.mzML</t>
  </si>
  <si>
    <t>2024_09_25_TJ_C_560_HypX_Y_TJ_C_590_HypAc_TEV_HypA1_Boc_TEVp.mzML</t>
  </si>
  <si>
    <t>2024_09_25_TJ_C_560_HypX_Y_TJ_C_590_HypAc_TEV_HypA1_Boc_trypsin.mzML</t>
  </si>
  <si>
    <t>2024_09_25_TJ_C_560_HypX_Y_TJ_C_591_HypAc_TEV_HypA1_LQYG_TEVp.mzML</t>
  </si>
  <si>
    <t>2024_09_25_TJ_C_560_HypX_Y_TJ_C_591_HypAc_TEV_HypA1_LQYG_trypsin.mzML</t>
  </si>
  <si>
    <t>2024_09_25_TJ_C_560_HypX_Y_TJ_C_592_HypAc_TEV_PlpA3_Boc_TEVp.mzML</t>
  </si>
  <si>
    <t>2024_09_25_TJ_C_560_HypX_Y_TJ_C_592_HypAc_TEV_PlpA3_Boc_trypsin.mzML</t>
  </si>
  <si>
    <t>2024_09_25_TJ_C_560_HypX_Y_TJ_C_594_HypA2_WT_trypsin.mzML</t>
  </si>
  <si>
    <t>2024_09_25_TJ_C_560_HypX_Y_TJ_C_595_HypA3_WT_trypsin.mzML</t>
  </si>
  <si>
    <t>2024_09_25_TJ_C_560_HypX_Y_TJ_C_596_HypA4_WT_trypsin.mzML</t>
  </si>
  <si>
    <t>2024_09_25_TJ_C_560_HypX_Y_TJ_C_597_HypA5_WT_trypsin.mzML</t>
  </si>
  <si>
    <t>2024_09_25_TJ_C_560_HypX_Y_TJ_C_598_HypA6_WT_trypsin.mzML</t>
  </si>
  <si>
    <t>2024_09_25_TJ_C_560_HypX_Y_TJ_C_599_HypA7_WT_trypsin.mzML</t>
  </si>
  <si>
    <t>2024_11_19_TJ_C_559_PlpX_Y_TJ_C_680_RSTN1_PlpA3_TEV_PlpA3_trunc_TEV.mzML</t>
  </si>
  <si>
    <t>2024_11_19_TJ_C_559_PlpX_Y_TJ_C_681_Fh8chaos_PlpA3_TEV_PlpA3_trunc_TEV.mzML</t>
  </si>
  <si>
    <t>2024_11_19_TJ_C_559_PlpX_Y_TJ_C_682_Fh8_PlpA3_TEV_PlpA3_trunc_TEV.mzML</t>
  </si>
  <si>
    <t>2024_11_19_TJ_C_559_PlpX_Y_TJ_C_683_RSTN1_PlpA3_TEV_PlpA3_Boc_trunc_TEV.mzML</t>
  </si>
  <si>
    <t>2024_11_19_TJ_C_559_PlpX_Y_TJ_C_684_Fh8chaos_PlpA3_TEV_PlpA3_Boc_trunc_TEV.mzML</t>
  </si>
  <si>
    <t>2024_11_19_TJ_C_559_PlpX_Y_TJ_C_685_Fh8_PlpA3_TEV_PlpA3_Boc_trunc_TEV.mzML</t>
  </si>
  <si>
    <t>2024_11_19_TJ_C_560_HypX_Y_TJ_C_674_RSTN1_HypAc_TEV_PlpA3_trunc_TEV.mzML</t>
  </si>
  <si>
    <t>2024_11_19_TJ_C_560_HypX_Y_TJ_C_675_Fh8chaos_HypAc_TEV_PlpA3_trunc_TEV.mzML</t>
  </si>
  <si>
    <t>2024_11_19_TJ_C_560_HypX_Y_TJ_C_676_Fh8_HypAc_TEV_PlpA3_trunc_TEV.mzML</t>
  </si>
  <si>
    <t>2024_11_19_TJ_C_560_HypX_Y_TJ_C_677_RSTN1_HypAc_TEV_PlpA3_Boc_trunc_TEV.mzML</t>
  </si>
  <si>
    <t>2024_11_19_TJ_C_560_HypX_Y_TJ_C_678_Fh8chaos_HypAc_TEV_PlpA3_Boc_trunc_TEV.mzML</t>
  </si>
  <si>
    <t>2024_11_19_TJ_C_560_HypX_Y_TJ_C_679_Fh8_HypAc_TEV_PlpA3_Boc_trunc_TEV.mzML</t>
  </si>
  <si>
    <t>2024_11_27_TJ_C_559_PlpX_Y_TJ_C_680_RSTN1_PlpA3_TEV_PlpA3_trunc_TEV_24C.mzML</t>
  </si>
  <si>
    <t>2024_11_27_TJ_C_559_PlpX_Y_TJ_C_680_RSTN1_PlpA3_TEV_PlpA3_trunc_TEV_30C.mzML</t>
  </si>
  <si>
    <t>2024_11_27_TJ_C_559_PlpX_Y_TJ_C_682_Fh8_PlpA3_TEV_PlpA3_trunc_TEV_24C.mzML</t>
  </si>
  <si>
    <t>2024_11_27_TJ_C_559_PlpX_Y_TJ_C_682_Fh8_PlpA3_TEV_PlpA3_trunc_TEV_30C.mzML</t>
  </si>
  <si>
    <t>2024_11_27_TJ_C_559_PlpX_Y_TJ_C_683_RSTN1_PlpA3_TEV_PlpA3_Boc_trunc_TEV_24C.mzML</t>
  </si>
  <si>
    <t>2024_11_27_TJ_C_559_PlpX_Y_TJ_C_683_RSTN1_PlpA3_TEV_PlpA3_Boc_trunc_TEV_30C.mzML</t>
  </si>
  <si>
    <t>2024_11_27_TJ_C_559_PlpX_Y_TJ_C_685_Fh8_PlpA3_TEV_PlpA3_Boc_trunc_TEV_24C.mzML</t>
  </si>
  <si>
    <t>2024_11_27_TJ_C_559_PlpX_Y_TJ_C_685_Fh8_PlpA3_TEV_PlpA3_Boc_trunc_TEV_30C.mzML</t>
  </si>
  <si>
    <t>2024_11_27_TJ_C_560_HypX_Y_TJ_C_674_RSTN1_HypAc_TEV_PlpA3_trunc_TEV_24C.mzML</t>
  </si>
  <si>
    <t>2024_11_27_TJ_C_560_HypX_Y_TJ_C_674_RSTN1_HypAc_TEV_PlpA3_trunc_TEV_30C.mzML</t>
  </si>
  <si>
    <t>2024_11_27_TJ_C_560_HypX_Y_TJ_C_676_Fh8_HypAc_TEV_PlpA3_trunc_TEV_24C.mzML</t>
  </si>
  <si>
    <t>2024_11_27_TJ_C_560_HypX_Y_TJ_C_676_Fh8_HypAc_TEV_PlpA3_trunc_TEV_30C.mzML</t>
  </si>
  <si>
    <t>2024_11_27_TJ_C_560_HypX_Y_TJ_C_677_RSTN1_HypAc_TEV_PlpA3_Boc_trunc_TEV_24C.mzML</t>
  </si>
  <si>
    <t>2024_11_27_TJ_C_560_HypX_Y_TJ_C_677_RSTN1_HypAc_TEV_PlpA3_Boc_trunc_TEV_30C.mzML</t>
  </si>
  <si>
    <t>2024_11_27_TJ_C_560_HypX_Y_TJ_C_679_Fh8_HypAc_TEV_PlpA3_Boc_trunc_TEV_24C.mzML</t>
  </si>
  <si>
    <t>2024_11_27_TJ_C_560_HypX_Y_TJ_C_679_Fh8_HypAc_TEV_PlpA3_Boc_trunc_TEV_30C.mzML</t>
  </si>
  <si>
    <t>2024_11_30_559_PlpX_Y_697_Fh8_PlpA3_TEV_Artificial_1_TEV_24C.mzML</t>
  </si>
  <si>
    <t>2024_11_30_559_PlpX_Y_698_Fh8_PlpA3_TEV_Artificial_2_TEV_24C.mzML</t>
  </si>
  <si>
    <t>2024_11_30_559_PlpX_Y_699_Fh8_PlpA3_TEV_Artificial_3_TEV_24C.mzML</t>
  </si>
  <si>
    <t>2024_11_30_559_PlpX_Y_700_Fh8_PlpA3_TEV_Artificial_4_TEV_24C.mzML</t>
  </si>
  <si>
    <t>2024_11_30_560_HypX_Y_695_Fh8_HypAc_TEV_Artificial_3_TEV_24C.mzML</t>
  </si>
  <si>
    <t>2024_11_30_560_HypX_Y_694_Fh8_HypAc_TEV_Artificial_2_TEV_24C.mzML</t>
  </si>
  <si>
    <t>2024_11_30_560_HypX_Y_693_Fh8_HypAc_TEV_Artificial_1_TEV_24C.mzML</t>
  </si>
  <si>
    <t>2024_11_30_560_HypX_Y_696_Fh8_HypAc_TEV_Artificial_4_TEV_24C.mzML</t>
  </si>
  <si>
    <t>2024_11_30_TJ_C_559_PlpX_Y_TJ_C_697_Fh8_PlpA3_TEV_Artificial_1_TEV_24C.mzML</t>
  </si>
  <si>
    <t>2024_11_30_TJ_C_559_PlpX_Y_TJ_C_698_Fh8_PlpA3_TEV_Artificial_2_TEV_24C.mzML</t>
  </si>
  <si>
    <t>2024_11_30_TJ_C_559_PlpX_Y_TJ_C_699_Fh8_PlpA3_TEV_Artificial_3_TEV_24C.mzML</t>
  </si>
  <si>
    <t>2024_11_30_TJ_C_559_PlpX_Y_TJ_C_700_Fh8_PlpA3_TEV_Artificial_4_TEV_24C.mzML</t>
  </si>
  <si>
    <t>2024_11_30_TJ_C_560_HypX_Y_TJ_C_693_Fh8_HypAc_TEV_Artificial_1_TEV_24C.mzML</t>
  </si>
  <si>
    <t>2024_11_30_TJ_C_560_HypX_Y_TJ_C_694_Fh8_HypAc_TEV_Artificial_2_TEV_24C.mzML</t>
  </si>
  <si>
    <t>2024_11_30_TJ_C_560_HypX_Y_TJ_C_695_Fh8_HypAc_TEV_Artificial_3_TEV_24C.mzML</t>
  </si>
  <si>
    <t>2024_11_30_TJ_C_560_HypX_Y_TJ_C_696_Fh8_HypAc_TEV_Artificial_4_TEV_24C.mzML</t>
  </si>
  <si>
    <t>2025_01_23_TJ_C_559_TJ_C_710_prep.mzML</t>
  </si>
  <si>
    <t>2025_01_23_TJ_C_559_TJ_C_711_prep.mzML</t>
  </si>
  <si>
    <t>2025_01_23_TJ_C_559_TJ_C_712_prep.mzML</t>
  </si>
  <si>
    <t>2025_01_23_TJ_C_559_TJ_C_713_prep.mzML</t>
  </si>
  <si>
    <t>2025_01_23_TJ_C_689_HypX_Y_TJ_C_676_prep.mzML</t>
  </si>
  <si>
    <t>2025_01_23_TJ_C_689_HypX_Y_TJ_C_679_prep.mzML</t>
  </si>
  <si>
    <t>2025_01_23_TJ_C_689_TJ_C_614_prep_trypsin</t>
  </si>
  <si>
    <t>2025_01_23_TJ_C_689_TJ_C_615_prep_trypsin</t>
  </si>
  <si>
    <t>2025_01_23_TJ_C_689_TJ_C_616_prep_trypsin</t>
  </si>
  <si>
    <t>2025_01_23_TJ_C_689_TJ_C_617_prep_trypsin</t>
  </si>
  <si>
    <t>2025_01_23_TJ_C_689_TJ_C_618_prep_trypsin</t>
  </si>
  <si>
    <t>2025_01_23_TJ_C_689_TJ_C_619_prep_trypsin</t>
  </si>
  <si>
    <t>2025_01_23_TJ_C_689_TJ_C_620_prep_trypsin</t>
  </si>
  <si>
    <t>2025_01_23_TJ_C_689_TJ_C_693_prep</t>
  </si>
  <si>
    <t>2025_01_23_TJ_C_689_TJ_C_694_prep</t>
  </si>
  <si>
    <t>2025_01_23_TJ_C_689_TJ_C_695_prep</t>
  </si>
  <si>
    <t>2025_01_23_TJ_C_689_TJ_C_696_prep</t>
  </si>
  <si>
    <t>2025_01_23_TJ_C_689_TJ_C_706_prep</t>
  </si>
  <si>
    <t>2025_01_23_TJ_C_689_TJ_C_707_prep</t>
  </si>
  <si>
    <t>2025_01_23_TJ_C_689_TJ_C_708_prep</t>
  </si>
  <si>
    <t>2025_02_06_TJ_C_689_TJ_C_614_prep_trypsin_1</t>
  </si>
  <si>
    <t>2025_02_06_TJ_C_689_TJ_C_614_prep_trypsin_2</t>
  </si>
  <si>
    <t>2025_02_06_TJ_C_689_TJ_C_615_prep_trypsin_1</t>
  </si>
  <si>
    <t>2025_02_06_TJ_C_689_TJ_C_615_prep_trypsin_2</t>
  </si>
  <si>
    <t>2025_02_06_TJ_C_689_TJ_C_616_GluC_1</t>
  </si>
  <si>
    <t>2025_02_06_TJ_C_689_TJ_C_616_GluC_2</t>
  </si>
  <si>
    <t>2025_02_06_TJ_C_689_TJ_C_616_prep_trypsin_1</t>
  </si>
  <si>
    <t>2025_02_06_TJ_C_689_TJ_C_616_prep_trypsin_2</t>
  </si>
  <si>
    <t>2025_02_06_TJ_C_689_TJ_C_616_TEV_1</t>
  </si>
  <si>
    <t>2025_02_06_TJ_C_689_TJ_C_616_TEV_2</t>
  </si>
  <si>
    <t>2025_02_06_TJ_C_689_TJ_C_617_GluC_1</t>
  </si>
  <si>
    <t>2025_02_06_TJ_C_689_TJ_C_617_GluC_2</t>
  </si>
  <si>
    <t>2025_02_06_TJ_C_689_TJ_C_617_prep_trypsin_1</t>
  </si>
  <si>
    <t>2025_02_06_TJ_C_689_TJ_C_617_prep_trypsin_2</t>
  </si>
  <si>
    <t>2025_02_06_TJ_C_689_TJ_C_617_TEV_1</t>
  </si>
  <si>
    <t>2025_02_06_TJ_C_689_TJ_C_617_TEV_2</t>
  </si>
  <si>
    <t>2025_02_06_TJ_C_689_TJ_C_618_prep_trypsin_1</t>
  </si>
  <si>
    <t>2025_02_06_TJ_C_689_TJ_C_618_prep_trypsin_2</t>
  </si>
  <si>
    <t>2025_02_06_TJ_C_689_TJ_C_619_prep_trypsin_1</t>
  </si>
  <si>
    <t>2025_02_06_TJ_C_689_TJ_C_619_prep_trypsin_2</t>
  </si>
  <si>
    <t>2025_02_06_TJ_C_689_TJ_C_620_prep_trypsin_1</t>
  </si>
  <si>
    <t>2025_02_06_TJ_C_689_TJ_C_620_prep_trypsin_2</t>
  </si>
  <si>
    <t>2025_12_17_TJ_C_689_TJ_C_679_RSTN_HypAc_TEV_Artificial_2_rep2.mzML</t>
  </si>
  <si>
    <t>2025_12_17_TJ_C_689_TJ_C_679_RSTN_HypAc_TEV_Artificial_2_rep3.mzML</t>
  </si>
  <si>
    <t>2025_12_17_TJ_C_689_TJ_C_679_RSTN_PlpA3_TEV_Artificial_2_rep2.mzML</t>
  </si>
  <si>
    <t>2025_12_17_TJ_C_689_TJ_C_679_RSTN_PlpA3_TEV_Artificial_2_rep3.mzML</t>
  </si>
  <si>
    <t>trypsin</t>
  </si>
  <si>
    <t>TJ-C-693</t>
  </si>
  <si>
    <t>TJ-C-694</t>
  </si>
  <si>
    <t>TJ-C-695</t>
  </si>
  <si>
    <t>TJ-C-696</t>
  </si>
  <si>
    <t>TJ-C-697</t>
  </si>
  <si>
    <t>TJ-C-698</t>
  </si>
  <si>
    <t>TJ-C-699</t>
  </si>
  <si>
    <t>TJ-C-700</t>
  </si>
  <si>
    <t>TJ-C-707</t>
  </si>
  <si>
    <t>TJ-C-708</t>
  </si>
  <si>
    <t>TJ-C-711</t>
  </si>
  <si>
    <t>TJ-C-712</t>
  </si>
  <si>
    <t>TJ-C-713</t>
  </si>
  <si>
    <t>TJ-C-593</t>
  </si>
  <si>
    <t>TJ-C-594</t>
  </si>
  <si>
    <t>TJ-C-595</t>
  </si>
  <si>
    <t>TJ-C-596</t>
  </si>
  <si>
    <t>TJ-C-597</t>
  </si>
  <si>
    <t>TJ-C-598</t>
  </si>
  <si>
    <t>TJ-C-590</t>
  </si>
  <si>
    <t>TJ-C-591</t>
  </si>
  <si>
    <t>TJ-C-592</t>
  </si>
  <si>
    <t>TJ-C-585</t>
  </si>
  <si>
    <t>TJ-C-586</t>
  </si>
  <si>
    <t>TJ-C-587</t>
  </si>
  <si>
    <t>TJ-C-588</t>
  </si>
  <si>
    <t>TJ-C-589</t>
  </si>
  <si>
    <t>TJ-C-681</t>
  </si>
  <si>
    <t>TJ-C-682</t>
  </si>
  <si>
    <t>TJ-C-684</t>
  </si>
  <si>
    <t>TJ-C-685</t>
  </si>
  <si>
    <t>TJ-C-675</t>
  </si>
  <si>
    <t>TJ-C-676</t>
  </si>
  <si>
    <t>TJ-C-678</t>
  </si>
  <si>
    <t>TJ-C-679</t>
  </si>
  <si>
    <t>TJ-C-614</t>
  </si>
  <si>
    <t>TJ-C-615</t>
  </si>
  <si>
    <t>TJ-C-616</t>
  </si>
  <si>
    <t>TJ-C-617</t>
  </si>
  <si>
    <t>TJ-C-618</t>
  </si>
  <si>
    <t>TJ-C-619</t>
  </si>
  <si>
    <t>TJ-C-620</t>
  </si>
  <si>
    <t>wild_type_hyella_peptides</t>
  </si>
  <si>
    <t>hyella_fusions</t>
  </si>
  <si>
    <t>artificial_peptides</t>
  </si>
  <si>
    <t>unique_sample_1</t>
  </si>
  <si>
    <t>unique_sample_2</t>
  </si>
  <si>
    <t>unique_sample_3</t>
  </si>
  <si>
    <t>unique_sample_4</t>
  </si>
  <si>
    <t>unique_sample_5</t>
  </si>
  <si>
    <t>unique_sample_6</t>
  </si>
  <si>
    <t>unique_sample_7</t>
  </si>
  <si>
    <t>unique_sample_8</t>
  </si>
  <si>
    <t>unique_sample_9</t>
  </si>
  <si>
    <t>unique_sample_10</t>
  </si>
  <si>
    <t>unique_sample_11</t>
  </si>
  <si>
    <t>unique_sample_12</t>
  </si>
  <si>
    <t>unique_sample_13</t>
  </si>
  <si>
    <t>unique_sample_14</t>
  </si>
  <si>
    <t>unique_sample_15</t>
  </si>
  <si>
    <t>unique_sample_16</t>
  </si>
  <si>
    <t>unique_sample_17</t>
  </si>
  <si>
    <t>unique_sample_18</t>
  </si>
  <si>
    <t>unique_sample_19</t>
  </si>
  <si>
    <t>unique_sample_20</t>
  </si>
  <si>
    <t>unique_sample_21</t>
  </si>
  <si>
    <t>unique_sample_22</t>
  </si>
  <si>
    <t>unique_sample_23</t>
  </si>
  <si>
    <t>unique_sample_24</t>
  </si>
  <si>
    <t>unique_sample_25</t>
  </si>
  <si>
    <t>unique_sample_26</t>
  </si>
  <si>
    <t>unique_sample_27</t>
  </si>
  <si>
    <t>unique_sample_28</t>
  </si>
  <si>
    <t>unique_sample_29</t>
  </si>
  <si>
    <t>unique_sample_30</t>
  </si>
  <si>
    <t>unique_sample_31</t>
  </si>
  <si>
    <t>unique_sample_32</t>
  </si>
  <si>
    <t>unique_sample_33</t>
  </si>
  <si>
    <t>unique_sample_34</t>
  </si>
  <si>
    <t>unique_sample_35</t>
  </si>
  <si>
    <t>unique_sample_36</t>
  </si>
  <si>
    <t>unique_sample_37</t>
  </si>
  <si>
    <t>unique_sample_38</t>
  </si>
  <si>
    <t>unique_sample_39</t>
  </si>
  <si>
    <t>unique_sample_40</t>
  </si>
  <si>
    <t>unique_sample_41</t>
  </si>
  <si>
    <t>unique_sample_42</t>
  </si>
  <si>
    <t>unique_sample_43</t>
  </si>
  <si>
    <t>unique_sample_44</t>
  </si>
  <si>
    <t>unique_sample_45</t>
  </si>
  <si>
    <t>unique_sample_46</t>
  </si>
  <si>
    <t>unique_sample_47</t>
  </si>
  <si>
    <t>unique_sample_48</t>
  </si>
  <si>
    <t>unique_sample_49</t>
  </si>
  <si>
    <t>unique_sample_50</t>
  </si>
  <si>
    <t>unique_sample_51</t>
  </si>
  <si>
    <t>unique_sample_52</t>
  </si>
  <si>
    <t>unique_sample_53</t>
  </si>
  <si>
    <t>unique_sample_54</t>
  </si>
  <si>
    <t>unique_sample_55</t>
  </si>
  <si>
    <t>unique_sample_56</t>
  </si>
  <si>
    <t>unique_sample_57</t>
  </si>
  <si>
    <t>unique_sample_58</t>
  </si>
  <si>
    <t>unique_sample_59</t>
  </si>
  <si>
    <t>unique_sample_60</t>
  </si>
  <si>
    <t>unique_sample_61</t>
  </si>
  <si>
    <t>unique_sample_62</t>
  </si>
  <si>
    <t>unique_sample_63</t>
  </si>
  <si>
    <t>unique_sample_64</t>
  </si>
  <si>
    <t>unique_sample_65</t>
  </si>
  <si>
    <t>unique_sample_66</t>
  </si>
  <si>
    <t>unique_sample_67</t>
  </si>
  <si>
    <t>unique_sample_68</t>
  </si>
  <si>
    <t>unique_sample_69</t>
  </si>
  <si>
    <t>unique_sample_70</t>
  </si>
  <si>
    <t>unique_sample_71</t>
  </si>
  <si>
    <t>unique_sample_72</t>
  </si>
  <si>
    <t>unique_sample_73</t>
  </si>
  <si>
    <t>unique_sample_74</t>
  </si>
  <si>
    <t>unique_sample_75</t>
  </si>
  <si>
    <t>unique_sample_76</t>
  </si>
  <si>
    <t>unique_sample_77</t>
  </si>
  <si>
    <t>unique_sample_78</t>
  </si>
  <si>
    <t>unique_sample_79</t>
  </si>
  <si>
    <t>unique_sample_80</t>
  </si>
  <si>
    <t>unique_sample_81</t>
  </si>
  <si>
    <t>unique_sample_82</t>
  </si>
  <si>
    <t>unique_sample_83</t>
  </si>
  <si>
    <t>unique_sample_84</t>
  </si>
  <si>
    <t>unique_sample_85</t>
  </si>
  <si>
    <t>unique_sample_86</t>
  </si>
  <si>
    <t>unique_sample_87</t>
  </si>
  <si>
    <t>unique_sample_88</t>
  </si>
  <si>
    <t>unique_sample_89</t>
  </si>
  <si>
    <t>unique_sample_90</t>
  </si>
  <si>
    <t>unique_sample_91</t>
  </si>
  <si>
    <t>unique_sample_92</t>
  </si>
  <si>
    <t>unique_sample_93</t>
  </si>
  <si>
    <t>unique_sample_94</t>
  </si>
  <si>
    <t>unique_sample_95</t>
  </si>
  <si>
    <t>unique_sample_96</t>
  </si>
  <si>
    <t>unique_sample_97</t>
  </si>
  <si>
    <t>unique_sample_98</t>
  </si>
  <si>
    <t>unique_sample_99</t>
  </si>
  <si>
    <t>unique_sample_100</t>
  </si>
  <si>
    <t>unique_sample_101</t>
  </si>
  <si>
    <t>unique_sample_102</t>
  </si>
  <si>
    <t>unique_sample_103</t>
  </si>
  <si>
    <t>unique_sample_104</t>
  </si>
  <si>
    <t>unique_sample_105</t>
  </si>
  <si>
    <t>unique_sample_106</t>
  </si>
  <si>
    <t>unique_sample_107</t>
  </si>
  <si>
    <t>unique_sample_108</t>
  </si>
  <si>
    <t>unique_sample_109</t>
  </si>
  <si>
    <t>unique_sample_110</t>
  </si>
  <si>
    <t>unique_sample_111</t>
  </si>
  <si>
    <t>unique_sample_112</t>
  </si>
  <si>
    <t>unique_sample_113</t>
  </si>
  <si>
    <t>unique_sample_114</t>
  </si>
  <si>
    <t>unique_sample_115</t>
  </si>
  <si>
    <t>unique_sample_116</t>
  </si>
  <si>
    <t>unique_sample_117</t>
  </si>
  <si>
    <t>unique_sample_118</t>
  </si>
  <si>
    <t>unique_sample_119</t>
  </si>
  <si>
    <t>unique_sample_120</t>
  </si>
  <si>
    <t>unique_sample_121</t>
  </si>
  <si>
    <t>unique_sample_122</t>
  </si>
  <si>
    <t>unique_sample_123</t>
  </si>
  <si>
    <t>unique_sample_124</t>
  </si>
  <si>
    <t>unique_sample_125</t>
  </si>
  <si>
    <t>unique_sample_126</t>
  </si>
  <si>
    <t>unique_sample_127</t>
  </si>
  <si>
    <t>unique_sample_128</t>
  </si>
  <si>
    <t>unique_sample_129</t>
  </si>
  <si>
    <t>unique_sample_130</t>
  </si>
  <si>
    <t>MSYYHHHHHHGSPSVQEVEKLLHVLDRNGDGKVSAEELKAFADDSKCPLDSNKIKAFIKEHDKNKDGKLDLKELVSILSSSSSNNNNNNNNNNEFENLYFQGCHMSQEQVKSFYERLAQDEVFKAQIEGAESPQECSQIMREAGYDFTQEEFEAFTAQLLDSDDAKNSFDELSEKTLEAVLGGCGDPQPVYGVIQ**</t>
  </si>
  <si>
    <t>MSYYHHHHHHGSPSVQEVEKLLHVLDRNGDGKVSAEELKAFADDSKCPLDSNKIKAFIKEHDKNKDGKLDLKELVSILSSSSSNNNNNNNNNNEFENLYFQGCHMSQEQVKSFYERLAQDEVFKAQIEGAESPQECSQIMREAGYDFTQEEFEAFTAQLLDSDDAKNSFDELSEKTLEAVLGGCGDPQPxVGVIQ**</t>
  </si>
  <si>
    <t>MSYYHHHHHHGSPSVQEVEKLLHVLDRNGDGKVSAEELKAFADDSKCPLDSNKIKAFIKEHDKNKDGKLDLKELVSILSSSSSNNNNNNNNNNEFENLYFQGCHMSQEQVKAIYKRLAQDEVFKAQIEGAESPQECSQIIREAGYDFTQEEFEAFTAQLLDSSDAENSFEGLSEKTLEAVFGVGGSAQVYGTTTSTTVLF**</t>
  </si>
  <si>
    <t>MSYYHHHHHHGSPSVQEVEKLLHVLDRNGDGKVSAEELKAFADDSKCPLDSNKIKAFIKEHDKNKDGKLDLKELVSILSSSSSNNNNNNNNNNEFENLYFQGCHMSQEQVKAIYKRLAQDEVFKAQIEGAESPQECSQIIREAGYDFTQEEFEAFTAQLLDSSDAENSFEGLSEKTLEAVFGVGGSAQxVGTTTSTTVLF**</t>
  </si>
  <si>
    <t>MSYYHHHHHHGSPSVQEVEKLLHVLDRNGDGKVSAEELKAFADDSKCPLDSNKIKAFIKEHDKNKDGKLDLKELVSILSSSSSNNNNNNNNNNEFENLYFQGCHMSQEHVKAFYKRLGQDEVFKAQIEGAESPQECSQIIREAGYDFTQEEFEVFTAQLLDSSDAKNNFEELSEKALEAVFGGRPTYQCYGVIE**</t>
  </si>
  <si>
    <t>MSYYHHHHHHGSPSVQEVEKLLHVLDRNGDGKVSAEELKAFADDSKCPLDSNKIKAFIKEHDKNKDGKLDLKELVSILSSSSSNNNNNNNNNNEFENLYFQGCHMSQEHVKAFYKRLGQDEVFKAQIEGAESPQECSQIIREAGYDFTQEEFEVFTAQLLDSSDAKNNFEELSEKALEAVFGGRPTYQxCGVIE**, MSYYHHHHHHGSPSVQEVEKLLHVLDRNGDGKVSAEELKAFADDSKCPLDSNKIKAFIKEHDKNKDGKLDLKELVSILSSSSSNNNNNNNNNNEFENLYFQGCHMSQEHVKAFYKRLGQDEVFKAQIEGAESPQECSQIIREAGYDFTQEEFEVFTAQLLDSSDAKNNFEELSEKALEAVFGGRPTYQxdhAGVIE**</t>
  </si>
  <si>
    <t>MSYYHHHHHHGSPSVQEVEKLLHVLDRNGDGKVSAEELKAFADDSKCPLDSNKIKAFIKEHDKNKDGKLDLKELVSILSSSSSNNNNNNNNNNEFENLYFQGCHMSQKAVKAFYERLAQDEVFKAQIEKAKTKQECSQIVREAGYIFTQEEFEAFTAQLLDSSAELNSEQLGEAELEAAVGGFLLPINPNPIQTYGIPPIH**</t>
  </si>
  <si>
    <t>MSYYHHHHHHGSPSVQEVEKLLHVLDRNGDGKVSAEELKAFADDSKCPLDSNKIKAFIKEHDKNKDGKLDLKELVSILSSSSSNNNNNNNNNNEFENLYFQGCHMSQKAVKAFYERLAQDEVFKAQIEKAKTKQECSQIVREAGYIFTQEEFEAFTAQLLDSSAELNSEQLGEAELEAAVGGFLLPINPNPIQxTGIPPIH**, MSYYHHHHHHGSPSVQEVEKLLHVLDRNGDGKVSAEELKAFADDSKCPLDSNKIKAFIKEHDKNKDGKLDLKELVSILSSSSSNNNNNNNNNNEFENLYFQGCHMSQKAVKAFYERLAQDEVFKAQIEKAKTKQECSQIVREAGYIFTQEEFEAFTAQLLDSSAELNSEQLGEAELEAAVGGFLLPINPNPIQxdhBGIPPIH**, MSYYHHHHHHGSPSVQEVEKLLHVLDRNGDGKVSAEELKAFADDSKCPLDSNKIKAFIKEHDKNKDGKLDLKELVSILSSSSSNNNNNNNNNNEFENLYFQGCHMSQKAVKAFYERLAQDEVFKAQIEKAKTKQECSQIVREAGYIFTQEEFEAFTAQLLDSSAELNSEQLGEAELEAAVGGFLLPINPNPIQxGGIPPIH**</t>
  </si>
  <si>
    <t>("spliced", 1),("spliced dehydrated", 1),("spliced retroaldol", 1)</t>
  </si>
  <si>
    <t>("spliced", 1),("spliced dehydroalanine, 1")</t>
  </si>
  <si>
    <t>MSYYHHHHHHGSPSVQEVEKLLHVLDRNGDGKVSAEELKAFADDSKCPLDSNKIKAFIKEHDKNKDGKLDLKELVSILSSSSSNNNNNNNNNNEFENLYFQGCHMSQEHVKAFYERLAQDEIFKAQIEKAKTKQECSQIVREAGYIFTQEEFEAFTAQLLDSSAELNSEQLGEAELEAAVGGFLLEKVIDLVQAYGLPPGL**</t>
  </si>
  <si>
    <t>MSYYHHHHHHGSPSVQEVEKLLHVLDRNGDGKVSAEELKAFADDSKCPLDSNKIKAFIKEHDKNKDGKLDLKELVSILSSSSSNNNNNNNNNNEFENLYFQGCHMSQEHVKAFYERLAQDEIFKAQIEKAKTKQECSQIVREAGYIFTQEEFEAFTAQLLDSSAELNSEQLGEAELEAAVGGFLLEKVIDLVQxAGLPPGL**</t>
  </si>
  <si>
    <t>MSYYHHHHHHGSPSVQEVEKLLHVLDRNGDGKVSAEELKAFADDSKCPLDSNKIKAFIKEHDKNKDGKLDLKELVSILSSSSSNNNNNNNNNNEFENLYFQGCHMSQEHVKAFYERLSQDEVFKAQIEKAKTKQECSQIVREAGYIFTQEEWEAFTAQLLDSSAEFNSGQLGEAELEAAVGGFLKEKLIGDPIPMYGISPIEFW**</t>
  </si>
  <si>
    <t>MSYYHHHHHHGSPSVQEVEKLLHVLDRNGDGKVSAEELKAFADDSKCPLDSNKIKAFIKEHDKNKDGKLDLKELVSILSSSSSNNNNNNNNNNEFENLYFQGCHMSQEHVKAFYERLSQDEVFKAQIEKAKTKQECSQIVREAGYIFTQEEWEAFTAQLLDSSAEFNSGQLGEAELEAAVGGFLKEKLIGDPIPxMGISPIEFW**</t>
  </si>
  <si>
    <t>pACYC-T7-lacO-ElvJ-100k-Fh8-chaos-HypA6-HypA6</t>
  </si>
  <si>
    <t>pACYC-T7-lacO-ElvJ-100k-Fh8-chaos-HypA5-HypA5</t>
  </si>
  <si>
    <t>pACYC-T7-lacO-ElvJ-100k-Fh8-chaos-HypA4-HypA4</t>
  </si>
  <si>
    <t>pACYC-T7-lacO-ElvJ-100k-Fh8-chaos-HypA3-HypA3</t>
  </si>
  <si>
    <t>pACYC-T7-lacO-ElvJ-100k-Fh8-chaos-HypA2-HypA2</t>
  </si>
  <si>
    <t>pACYC-T7-lacO-ElvJ-100k-Fh8-chaos-HypA1-HypA1</t>
  </si>
  <si>
    <t>pACYC-T7-lacO-ElvJ-100k-Fh8-chaos-HypA7-HypA7</t>
  </si>
  <si>
    <t>MSYYHHHHHHGSPSVQEVEKLLHVLDRNGDGKVSAEELKAFADDSKCPLDSNKIKAFIKEHDKNKDGKLDLKELVSILSSSSSNNNNNNNNNNEFENLYFQGCHMTIANVEAFYKRLAVDEAFRSKIQKAGSKQKCRQIVREAGYDFTQEEFEAFTSQLLDSNTEVNLGELSEIELEAAVGGINALFQENRINFVPPYGLPPDWVP**</t>
  </si>
  <si>
    <t>MSYYHHHHHHGSPSVQEVEKLLHVLDRNGDGKVSAEELKAFADDSKCPLDSNKIKAFIKEHDKNKDGKLDLKELVSILSSSSSNNNNNNNNNNEFENLYFQGCHMTIANVEAFYKRLAVDEAFRSKIQKAGSKQKCRQIVREAGYDFTQEEFEAFTSQLLDSNTEVNLGELSEIELEAAVGGINALFQENRINFVPxPGLPPDWVP**</t>
  </si>
  <si>
    <t>pACYC-T7-lacO-ElvJ-100k-Fh8-chaos-HypAc-TEV-HypA1-Bocep</t>
  </si>
  <si>
    <t>MSYYHHHHHHGSPSVQEVEKLLHVLDRNGDGKVSAEELKAFADDSKCPLDSNKIKAFIKEHDKNKDGKLDLKELVSILSSSSSNNNNNNNNNNEFENLYFQGCHMSQEHVKAFYERLAQDEVFKAQIEKAESKQECSQIVREAGYDFTQEEFEAFTAQLLDSSAEKNSFEELSEAELEAAVENLYFQGGCGEVVPMYGMSYS**</t>
  </si>
  <si>
    <t>MSYYHHHHHHGSPSVQEVEKLLHVLDRNGDGKVSAEELKAFADDSKCPLDSNKIKAFIKEHDKNKDGKLDLKELVSILSSSSSNNNNNNNNNNEFENLYFQGCHMSQEHVKAFYERLAQDEVFKAQIEKAESKQECSQIVREAGYDFTQEEFEAFTAQLLDSSAEKNSFEELSEAELEAAVENLYFQGGCGEVVPxMGMSYS**</t>
  </si>
  <si>
    <t>pACYC-T7-lacO-ElvJ-100k-Fh8-chaos-HypAc-TEV-HypA1-LQYG</t>
  </si>
  <si>
    <t>MSYYHHHHHHGSPSVQEVEKLLHVLDRNGDGKVSAEELKAFADDSKCPLDSNKIKAFIKEHDKNKDGKLDLKELVSILSSSSSNNNNNNNNNNEFENLYFQGCHMSQEHVKAFYERLAQDEVFKAQIEKAESKQECSQIVREAGYDFTQEEFEAFTAQLLDSSAEKNSFEELSEAELEAAVENLYFQGGCGDPTLQYGVIQ**</t>
  </si>
  <si>
    <t>MSYYHHHHHHGSPSVQEVEKLLHVLDRNGDGKVSAEELKAFADDSKCPLDSNKIKAFIKEHDKNKDGKLDLKELVSILSSSSSNNNNNNNNNNEFENLYFQGCHMSQEHVKAFYERLAQDEVFKAQIEKAESKQECSQIVREAGYDFTQEEFEAFTAQLLDSSAEKNSFEELSEAELEAAVENLYFQGGCGDPTLxQGVIQ**</t>
  </si>
  <si>
    <t>pACYC-T7-lacO-ElvJ-100k-Fh8-chaos-HypAc-TEV-PlpA3-Bocep</t>
  </si>
  <si>
    <t>MSYYHHHHHHGSPSVQEVEKLLHVLDRNGDGKVSAEELKAFADDSKCPLDSNKIKAFIKEHDKNKDGKLDLKELVSILSSSSSNNNNNNNNNNEFENLYFQGCHMSQEHVKAFYERLAQDEVFKAQIEKAESKQECSQIVREAGYDFTQEEFEAFTAQLLDSSAEKNSFEELSEAELEAAVENLYFQGGDEVVPLYGVVFPWDNEFPWPRWGG**</t>
  </si>
  <si>
    <t>MSYYHHHHHHGSPSVQEVEKLLHVLDRNGDGKVSAEELKAFADDSKCPLDSNKIKAFIKEHDKNKDGKLDLKELVSILSSSSSNNNNNNNNNNEFENLYFQGCHMSQEHVKAFYERLAQDEVFKAQIEKAESKQECSQIVREAGYDFTQEEFEAFTAQLLDSSAEKNSFEELSEAELEAAVENLYFQGGDEVVPxLGVVFPWDNEFPWPRWGG**</t>
  </si>
  <si>
    <t>MSYYHHHHHHGSPSVQEVEKLLHVLDRNGDGKVSAEELKAFADDSKCPLDSNKIKAFIKEHDKNKDGKLDLKELVSILSSSSSNNNNNNNNNNEFENLYFQGCHMSQEHVKAFYERLAQDEVFKAQIEKAESKQECSQIVREAGYDFTQEEFEAFTAQLLDSSAEKNSFEELSEAELEAAVENLYFQGGINATGQRIDSSVFTHCDFFVCGVALYGSVIDPHRFDMLP**</t>
  </si>
  <si>
    <t>pACYC-T7-lacO-ElvJ-100k-Fh8-chaos-HypAc-TEV-RhaA</t>
  </si>
  <si>
    <t>MSYYHHHHHHGSPSVQEVEKLLHVLDRNGDGKVSAEELKAFADDSKCPLDSNKIKAFIKEHDKNKDGKLDLKELVSILSSSSSNNNNNNNNNNEFENLYFQGCHMSQEHVKAFYERLAQDEVFKAQIEKAESKQECSQIVREAGYDFTQEEFEAFTAQLLDSSAEKNSFEELSEAELEAAVENLYFQGGINATGQRIDSSVFTHCDFFVCGVAxLGSVIDPHRFDMLP**</t>
  </si>
  <si>
    <t>pACYC-T7-lacO-ElvJ-100k-Fh8-chaos-HypAc-TEV-PlpA2</t>
  </si>
  <si>
    <t>MSYYHHHHHHGSPSVQEVEKLLHVLDRNGDGKVSAEELKAFADDSKCPLDSNKIKAFIKEHDKNKDGKLDLKELVSILSSSSSNNNNNNNNNNEFENLYFQGCHMSQEHVKAFYERLAQDEVFKAQIEKAESKQECSQIVREAGYDFTQEEFEAFTAQLLDSSAEKNSFEELSEAELEAAVENLYFQGGVDLSIFELLDEEPLFPIRPLYGLPI**</t>
  </si>
  <si>
    <t>MSYYHHHHHHGSPSVQEVEKLLHVLDRNGDGKVSAEELKAFADDSKCPLDSNKIKAFIKEHDKNKDGKLDLKELVSILSSSSSNNNNNNNNNNEFENLYFQGCHMSQEHVKAFYERLAQDEVFKAQIEKAESKQECSQIVREAGYDFTQEEFEAFTAQLLDSSAEKNSFEELSEAELEAAVENLYFQGGVDLSIFELLDEEPLFPIRPxLGLPI**</t>
  </si>
  <si>
    <t>pACYC-T7-lacO-ElvJ-100k-Fh8-chaos-HypAc-TEV-PlpA3</t>
  </si>
  <si>
    <t>MSYYHHHHHHGSPSVQEVEKLLHVLDRNGDGKVSAEELKAFADDSKCPLDSNKIKAFIKEHDKNKDGKLDLKELVSILSSSSSNNNNNNNNNNEFENLYFQGCHMSQEHVKAFYERLAQDEVFKAQIEKAESKQECSQIVREAGYDFTQEEFEAFTAQLLDSSAEKNSFEELSEAELEAAVENLYFQGGAVAAMYGVVFPWDNEFPWPRWGG**</t>
  </si>
  <si>
    <t>MSYYHHHHHHGSPSVQEVEKLLHVLDRNGDGKVSAEELKAFADDSKCPLDSNKIKAFIKEHDKNKDGKLDLKELVSILSSSSSNNNNNNNNNNEFENLYFQGCHMSQEHVKAFYERLAQDEVFKAQIEKAESKQECSQIVREAGYDFTQEEFEAFTAQLLDSSAEKNSFEELSEAELEAAVENLYFQGGAVAAxMGVVFPWDNEFPWPRWGG**</t>
  </si>
  <si>
    <t>pACYC-T7-lacO-ElvJ-100k-Fh8-chaos-HypAc-TEV-PcpA</t>
  </si>
  <si>
    <t>MSYYHHHHHHGSPSVQEVEKLLHVLDRNGDGKVSAEELKAFADDSKCPLDSNKIKAFIKEHDKNKDGKLDLKELVSILSSSSSNNNNNNNNNNEFENLYFQGCHMSQEHVKAFYERLAQDEVFKAQIEKAESKQECSQIVREAGYDFTQEEFEAFTAQLLDSSAEKNSFEELSEAELEAAVENLYFQGGVTGGSGIYGPIQAMYGAVVGDPKPGKDWGWRFPSPLPKPSPIPSPWKPPVDVQPMYGVVVSNDS**</t>
  </si>
  <si>
    <t>MSYYHHHHHHGSPSVQEVEKLLHVLDRNGDGKVSAEELKAFADDSKCPLDSNKIKAFIKEHDKNKDGKLDLKELVSILSSSSSNNNNNNNNNNEFENLYFQGCHMSQEHVKAFYERLAQDEVFKAQIEKAESKQECSQIVREAGYDFTQEEFEAFTAQLLDSSAEKNSFEELSEAELEAAVENLYFQGGVTGGSGIYGPIQAMYGAVVGDPKPGKDWGWRFPSPLPKPSPIPSPWKPPVDVQPxMYGVVVSNDS**,MSYYHHHHHHGSPSVQEVEKLLHVLDRNGDGKVSAEELKAFADDSKCPLDSNKIKAFIKEHDKNKDGKLDLKELVSILSSSSSNNNNNNNNNNEFENLYFQGCHMSQEHVKAFYERLAQDEVFKAQIEKAESKQECSQIVREAGYDFTQEEFEAFTAQLLDSSAEKNSFEELSEAELEAAVENLYFQGGVTGGSGIYGPIQAxMGAVVGDPKPGKDWGWRFPSPLPKPSPIPSPWKPPVDVQPxMYGVVVSNDS*</t>
  </si>
  <si>
    <t>("spliced", 1), ("spliced", 2)</t>
  </si>
  <si>
    <t>pACYC-T7-lacO-ElvJ-100k-Fh8-chaos-HypAc-TEV-HypA6-trunc</t>
  </si>
  <si>
    <t>MSYYHHHHHHGSPSVQEVEKLLHVLDRNGDGKVSAEELKAFADDSKCPLDSNKIKAFIKEHDKNKDGKLDLKELVSILSSSSSNNNNNNNNNNEFENLYFQGCHMSQEHVKAFYERLAQDEVFKAQIEKAESKQECSQIVREAGYDFTQEEFEAFTAQLLDSSAEKNSFEELSEAELEAAVENLYFQGGPIPMYGISPIEFW**</t>
  </si>
  <si>
    <t>MSYYHHHHHHGSPSVQEVEKLLHVLDRNGDGKVSAEELKAFADDSKCPLDSNKIKAFIKEHDKNKDGKLDLKELVSILSSSSSNNNNNNNNNNEFENLYFQGCHMSQEHVKAFYERLAQDEVFKAQIEKAESKQECSQIVREAGYDFTQEEFEAFTAQLLDSSAEKNSFEELSEAELEAAVENLYFQGGPIPxMGISPIEFW**</t>
  </si>
  <si>
    <t>pACYC-K-T7-lacO-RSTN1-PlpA3-TEV-PlpA3-Trunc</t>
  </si>
  <si>
    <t>MSYYHHHHHHGSLQDSEVNQEAKPEVKPEVKPETHINLKVSDGSSEIFFKIKKTTPLRRLMEAFAKRQGKEMDSLRFLYDGIRIQADQAPEDLDMEDNDIIEAHREQIGGHHHHHHGYDISTGHMSIESAKAFYQRMTDDASFRTPFEAELSKEERQQLIKDSGYDFTAEEWQQAMTEIQAARSNEELNEEELEAIAENLYFQGGAVAAMYGVVFPWDN**</t>
  </si>
  <si>
    <t>MSYYHHHHHHGSLQDSEVNQEAKPEVKPEVKPETHINLKVSDGSSEIFFKIKKTTPLRRLMEAFAKRQGKEMDSLRFLYDGIRIQADQAPEDLDMEDNDIIEAHREQIGGHHHHHHGYDISTGHMSIESAKAFYQRMTDDASFRTPFEAELSKEERQQLIKDSGYDFTAEEWQQAMTEIQAARSNEELNEEELEAIAENLYFQGGAVAAxMGVVFPWDN**</t>
  </si>
  <si>
    <t>pACYC-K-T7-lacO-Fh8-PlpA3-TEV-PlpA3-Trunc</t>
  </si>
  <si>
    <t>MSYYHHHHHHGSPSVQEVEKLLHVLDRNGDGKVSAEELKAFADDSKCPLDSNKIKAFIKEHDKNKDGKLDLKELVSILSSHHHHHHGSFENLYFQGCHMSIESAKAFYQRMTDDASFRTPFEAELSKEERQQLIKDSGYDFTAEEWQQAMTEIQAARSNEELNEEELEAIAENLYFQGGAVAAMYGVVFPWDN**</t>
  </si>
  <si>
    <t>MSYYHHHHHHGSPSVQEVEKLLHVLDRNGDGKVSAEELKAFADDSKCPLDSNKIKAFIKEHDKNKDGKLDLKELVSILSSHHHHHHGSFENLYFQGCHMSIESAKAFYQRMTDDASFRTPFEAELSKEERQQLIKDSGYDFTAEEWQQAMTEIQAARSNEELNEEELEAIAENLYFQGGAVAAxMGVVFPWDN**</t>
  </si>
  <si>
    <t>pACYC-K-T7-lacO-RSTN1-PlpA3-TEV-PlpA3-Boc-Trunc</t>
  </si>
  <si>
    <t>MSYYHHHHHHGSLQDSEVNQEAKPEVKPEVKPETHINLKVSDGSSEIFFKIKKTTPLRRLMEAFAKRQGKEMDSLRFLYDGIRIQADQAPEDLDMEDNDIIEAHREQIGGHHHHHHGYDISTGHMSIESAKAFYQRMTDDASFRTPFEAELSKEERQQLIKDSGYDFTAEEWQQAMTEIQAARSNEELNEEELEAIAENLYFQGGDEVVPLYGVVFPWDN**</t>
  </si>
  <si>
    <t>MSYYHHHHHHGSLQDSEVNQEAKPEVKPEVKPETHINLKVSDGSSEIFFKIKKTTPLRRLMEAFAKRQGKEMDSLRFLYDGIRIQADQAPEDLDMEDNDIIEAHREQIGGHHHHHHGYDISTGHMSIESAKAFYQRMTDDASFRTPFEAELSKEERQQLIKDSGYDFTAEEWQQAMTEIQAARSNEELNEEELEAIAENLYFQGGDEVVPxLGVVFPWDN**</t>
  </si>
  <si>
    <t>pACYC-K-T7-lacO-Fh8-chaos-PlpA3-TEV-PlpA3-Trunc</t>
  </si>
  <si>
    <t>MSYYHHHHHHGSPSVQEVEKLLHVLDRNGDGKVSAEELKAFADDSKCPLDSNKIKAFIKEHDKNKDGKLDLKELVSILSSSSSNNNNNNNNNNEFENLYFQGCHMSIESAKAFYQRMTDDASFRTPFEAELSKEERQQLIKDSGYDFTAEEWQQAMTEIQAARSNEELNEEELEAIAENLYFQGGAVAAMYGVVFPWDN**</t>
  </si>
  <si>
    <t>pACYC-K-T7-lacO-Fh8-chaos-PlpA3-TEV-PlpA3-Boc-Trunc</t>
  </si>
  <si>
    <t>MSYYHHHHHHGSPSVQEVEKLLHVLDRNGDGKVSAEELKAFADDSKCPLDSNKIKAFIKEHDKNKDGKLDLKELVSILSSSSSNNNNNNNNNNEFENLYFQGCHMSIESAKAFYQRMTDDASFRTPFEAELSKEERQQLIKDSGYDFTAEEWQQAMTEIQAARSNEELNEEELEAIAENLYFQGGDEVVPLYGVVFPWDN**</t>
  </si>
  <si>
    <t>MSYYHHHHHHGSPSVQEVEKLLHVLDRNGDGKVSAEELKAFADDSKCPLDSNKIKAFIKEHDKNKDGKLDLKELVSILSSSSSNNNNNNNNNNEFENLYFQGCHMSIESAKAFYQRMTDDASFRTPFEAELSKEERQQLIKDSGYDFTAEEWQQAMTEIQAARSNEELNEEELEAIAENLYFQGGDEVVPxLGVVFPWDN**</t>
  </si>
  <si>
    <t>MSYYHHHHHHGSPSVQEVEKLLHVLDRNGDGKVSAEELKAFADDSKCPLDSNKIKAFIKEHDKNKDGKLDLKELVSILSSSSSNNNNNNNNNNEFENLYFQGCHMSIESAKAFYQRMTDDASFRTPFEAELSKEERQQLIKDSGYDFTAEEWQQAMTEIQAARSNEELNEEELEAIAENLYFQGGAVAAxMGVVFPWDN**</t>
  </si>
  <si>
    <t>pACYC-K-T7-lacO-Fh8-PlpA3-TEV-PlpA3-Boc-Trunc</t>
  </si>
  <si>
    <t>MSYYHHHHHHGSPSVQEVEKLLHVLDRNGDGKVSAEELKAFADDSKCPLDSNKIKAFIKEHDKNKDGKLDLKELVSILSSHHHHHHGSFENLYFQGCHMSIESAKAFYQRMTDDASFRTPFEAELSKEERQQLIKDSGYDFTAEEWQQAMTEIQAARSNEELNEEELEAIAENLYFQGGDEVVPLYGVVFPWDN**</t>
  </si>
  <si>
    <t>MSYYHHHHHHGSPSVQEVEKLLHVLDRNGDGKVSAEELKAFADDSKCPLDSNKIKAFIKEHDKNKDGKLDLKELVSILSSHHHHHHGSFENLYFQGCHMSIESAKAFYQRMTDDASFRTPFEAELSKEERQQLIKDSGYDFTAEEWQQAMTEIQAARSNEELNEEELEAIAENLYFQGGDEVVPxLGVVFPWDN**</t>
  </si>
  <si>
    <t>pACYC-K-T7-lacO-RSTN1-HypAc-TEV-PlpA3-Trunc</t>
  </si>
  <si>
    <t>MSYYHHHHHHGSLQDSEVNQEAKPEVKPEVKPETHINLKVSDGSSEIFFKIKKTTPLRRLMEAFAKRQGKEMDSLRFLYDGIRIQADQAPEDLDMEDNDIIEAHREQIGGHHHHHHGYDISTGHMSQEHVKAFYERLAQDEVFKAQIEKAESKQECSQIVREAGYDFTQEEFEAFTAQLLDSSAEKNSFEELSEAELEAAVENLYFQGGAVAAMYGVVFPWDN**</t>
  </si>
  <si>
    <t>MSYYHHHHHHGSLQDSEVNQEAKPEVKPEVKPETHINLKVSDGSSEIFFKIKKTTPLRRLMEAFAKRQGKEMDSLRFLYDGIRIQADQAPEDLDMEDNDIIEAHREQIGGHHHHHHGYDISTGHMSQEHVKAFYERLAQDEVFKAQIEKAESKQECSQIVREAGYDFTQEEFEAFTAQLLDSSAEKNSFEELSEAELEAAVENLYFQGGAVAAxMGVVFPWDN**</t>
  </si>
  <si>
    <t>pACYC-K-T7-lacO-Fh8-chaos-HypAc-TEV-PlpA3-Trunc</t>
  </si>
  <si>
    <t>MSYYHHHHHHGSPSVQEVEKLLHVLDRNGDGKVSAEELKAFADDSKCPLDSNKIKAFIKEHDKNKDGKLDLKELVSILSSSSSNNNNNNNNNNEFENLYFQGCHMSQEHVKAFYERLAQDEVFKAQIEKAESKQECSQIVREAGYDFTQEEFEAFTAQLLDSSAEKNSFEELSEAELEAAVENLYFQGGAVAAMYGVVFPWDN**</t>
  </si>
  <si>
    <t>MSYYHHHHHHGSPSVQEVEKLLHVLDRNGDGKVSAEELKAFADDSKCPLDSNKIKAFIKEHDKNKDGKLDLKELVSILSSSSSNNNNNNNNNNEFENLYFQGCHMSQEHVKAFYERLAQDEVFKAQIEKAESKQECSQIVREAGYDFTQEEFEAFTAQLLDSSAEKNSFEELSEAELEAAVENLYFQGGAVAAxMGVVFPWDN**</t>
  </si>
  <si>
    <t>pACYC-K-T7-lacO-Fh8-HypAc-TEV-PlpA3-Trunc</t>
  </si>
  <si>
    <t>MSYYHHHHHHGSPSVQEVEKLLHVLDRNGDGKVSAEELKAFADDSKCPLDSNKIKAFIKEHDKNKDGKLDLKELVSILSSHHHHHHGSFENLYFQGCHMSQEHVKAFYERLAQDEVFKAQIEKAESKQECSQIVREAGYDFTQEEFEAFTAQLLDSSAEKNSFEELSEAELEAAVENLYFQGGAVAAMYGVVFPWDN**</t>
  </si>
  <si>
    <t>MSYYHHHHHHGSPSVQEVEKLLHVLDRNGDGKVSAEELKAFADDSKCPLDSNKIKAFIKEHDKNKDGKLDLKELVSILSSHHHHHHGSFENLYFQGCHMSQEHVKAFYERLAQDEVFKAQIEKAESKQECSQIVREAGYDFTQEEFEAFTAQLLDSSAEKNSFEELSEAELEAAVENLYFQGGAVAAxMGVVFPWDN**</t>
  </si>
  <si>
    <t>pACYC-K-T7-lacO-RSTN1-HypAc-TEV-PlpA3-Boc-Trunc</t>
  </si>
  <si>
    <t>MSYYHHHHHHGSLQDSEVNQEAKPEVKPEVKPETHINLKVSDGSSEIFFKIKKTTPLRRLMEAFAKRQGKEMDSLRFLYDGIRIQADQAPEDLDMEDNDIIEAHREQIGGHHHHHHGYDISTGHMSQEHVKAFYERLAQDEVFKAQIEKAESKQECSQIVREAGYDFTQEEFEAFTAQLLDSSAEKNSFEELSEAELEAAVENLYFQGGDEVVPLYGVVFPWDN**</t>
  </si>
  <si>
    <t>MSYYHHHHHHGSLQDSEVNQEAKPEVKPEVKPETHINLKVSDGSSEIFFKIKKTTPLRRLMEAFAKRQGKEMDSLRFLYDGIRIQADQAPEDLDMEDNDIIEAHREQIGGHHHHHHGYDISTGHMSQEHVKAFYERLAQDEVFKAQIEKAESKQECSQIVREAGYDFTQEEFEAFTAQLLDSSAEKNSFEELSEAELEAAVENLYFQGGDEVVPxLGVVFPWDN**</t>
  </si>
  <si>
    <t>pACYC-K-T7-lacO-Fh8-chaos-HypAc-TEV-PlpA3-Boc-Trunc</t>
  </si>
  <si>
    <t>pACYC-K-T7-lacO-Fh8-HypAc-TEV-PlpA3-Boc-Trunc</t>
  </si>
  <si>
    <t>MSYYHHHHHHGSPSVQEVEKLLHVLDRNGDGKVSAEELKAFADDSKCPLDSNKIKAFIKEHDKNKDGKLDLKELVSILSSSSSNNNNNNNNNNEFENLYFQGCHMSQEHVKAFYERLAQDEVFKAQIEKAESKQECSQIVREAGYDFTQEEFEAFTAQLLDSSAEKNSFEELSEAELEAAVENLYFQGGDEVVPLYGVVFPWDN**</t>
  </si>
  <si>
    <t>MSYYHHHHHHGSPSVQEVEKLLHVLDRNGDGKVSAEELKAFADDSKCPLDSNKIKAFIKEHDKNKDGKLDLKELVSILSSSSSNNNNNNNNNNEFENLYFQGCHMSQEHVKAFYERLAQDEVFKAQIEKAESKQECSQIVREAGYDFTQEEFEAFTAQLLDSSAEKNSFEELSEAELEAAVENLYFQGGDEVVPxLGVVFPWDN**</t>
  </si>
  <si>
    <t>MSYYHHHHHHGSPSVQEVEKLLHVLDRNGDGKVSAEELKAFADDSKCPLDSNKIKAFIKEHDKNKDGKLDLKELVSILSSHHHHHHGSFENLYFQGCHMSQEHVKAFYERLAQDEVFKAQIEKAESKQECSQIVREAGYDFTQEEFEAFTAQLLDSSAEKNSFEELSEAELEAAVENLYFQGGDEVVPLYGVVFPWDN**</t>
  </si>
  <si>
    <t>MSYYHHHHHHGSPSVQEVEKLLHVLDRNGDGKVSAEELKAFADDSKCPLDSNKIKAFIKEHDKNKDGKLDLKELVSILSSHHHHHHGSFENLYFQGCHMSQEHVKAFYERLAQDEVFKAQIEKAESKQECSQIVREAGYDFTQEEFEAFTAQLLDSSAEKNSFEELSEAELEAAVENLYFQGGDEVVPxLGVVFPWDN**</t>
  </si>
  <si>
    <t>pACYC-K-T7-lacO-Fh8-PlpA3-TEV-Artificial-1</t>
  </si>
  <si>
    <t>MSYYHHHHHHGSPSVQEVEKLLHVLDRNGDGKVSAEELKAFADDSKCPLDSNKIKAFIKEHDKNKDGKLDLKELVSILSSHHHHHHGSFENLYFQGCHMSIESAKAFYQRMTDDASFRTPFEAELSKEERQQLIKDSGYDFTAEEWQQAMTEIQAARSNEELNEEELEAIAENLYFQGGCGPQPVYGVLPWA**</t>
  </si>
  <si>
    <t>pACYC-K-T7-lacO-Fh8-PlpA3-TEV-Artificial-2</t>
  </si>
  <si>
    <t>MSYYHHHHHHGSPSVQEVEKLLHVLDRNGDGKVSAEELKAFADDSKCPLDSNKIKAFIKEHDKNKDGKLDLKELVSILSSHHHHHHGSFENLYFQGCHMSIESAKAFYQRMTDDASFRTPFEAELSKEERQQLIKDSGYDFTAEEWQQAMTEIQAARSNEELNEEELEAIAENLYFQGGCGPQPVYGVILPWA**</t>
  </si>
  <si>
    <t>MSYYHHHHHHGSPSVQEVEKLLHVLDRNGDGKVSAEELKAFADDSKCPLDSNKIKAFIKEHDKNKDGKLDLKELVSILSSHHHHHHGSFENLYFQGCHMSIESAKAFYQRMTDDASFRTPFEAELSKEERQQLIKDSGYDFTAEEWQQAMTEIQAARSNEELNEEELEAIAENLYFQGGCGPQPxVGVLPWA**</t>
  </si>
  <si>
    <t>MSYYHHHHHHGSPSVQEVEKLLHVLDRNGDGKVSAEELKAFADDSKCPLDSNKIKAFIKEHDKNKDGKLDLKELVSILSSHHHHHHGSFENLYFQGCHMSIESAKAFYQRMTDDASFRTPFEAELSKEERQQLIKDSGYDFTAEEWQQAMTEIQAARSNEELNEEELEAIAENLYFQGGCGPQPxVGVILPWA**</t>
  </si>
  <si>
    <t>pACYC-K-T7-lacO-Fh8-PlpA3-TEV-Artificial-3</t>
  </si>
  <si>
    <t>MSYYHHHHHHGSPSVQEVEKLLHVLDRNGDGKVSAEELKAFADDSKCPLDSNKIKAFIKEHDKNKDGKLDLKELVSILSSHHHHHHGSFENLYFQGCHMSIESAKAFYQRMTDDASFRTPFEAELSKEERQQLIKDSGYDFTAEEWQQAMTEIQAARSNEELNEEELEAIAENLYFQGGIGDPIPMYGISPIEFW**</t>
  </si>
  <si>
    <t>MSYYHHHHHHGSPSVQEVEKLLHVLDRNGDGKVSAEELKAFADDSKCPLDSNKIKAFIKEHDKNKDGKLDLKELVSILSSHHHHHHGSFENLYFQGCHMSIESAKAFYQRMTDDASFRTPFEAELSKEERQQLIKDSGYDFTAEEWQQAMTEIQAARSNEELNEEELEAIAENLYFQGGIGDPIPxMGISPIEFW**</t>
  </si>
  <si>
    <t>pACYC-K-T7-lacO-Fh8-PlpA3-TEV-Artificial-4</t>
  </si>
  <si>
    <t>MSYYHHHHHHGSPSVQEVEKLLHVLDRNGDGKVSAEELKAFADDSKCPLDSNKIKAFIKEHDKNKDGKLDLKELVSILSSHHHHHHGSFENLYFQGCHMSIESAKAFYQRMTDDASFRTPFEAELSKEERQQLIKDSGYDFTAEEWQQAMTEIQAARSNEELNEEELEAIAENLYFQGGCAVAAMYGVVLPWA**</t>
  </si>
  <si>
    <t>MSYYHHHHHHGSPSVQEVEKLLHVLDRNGDGKVSAEELKAFADDSKCPLDSNKIKAFIKEHDKNKDGKLDLKELVSILSSHHHHHHGSFENLYFQGCHMSIESAKAFYQRMTDDASFRTPFEAELSKEERQQLIKDSGYDFTAEEWQQAMTEIQAARSNEELNEEELEAIAENLYFQGGCAVAAxMGVVLPWA**</t>
  </si>
  <si>
    <t>pACYC-K-T7-lacO-Fh8-HypAc-TEV-Artificial-1</t>
  </si>
  <si>
    <t>MSYYHHHHHHGSPSVQEVEKLLHVLDRNGDGKVSAEELKAFADDSKCPLDSNKIKAFIKEHDKNKDGKLDLKELVSILSSHHHHHHGSFENLYFQGCHMSQEHVKAFYERLAQDEVFKAQIEKAESKQECSQIVREAGYDFTQEEFEAFTAQLLDSSAEKNSFEELSEAELEAAVENLYFQGGCGPQPVYGVLPWA**</t>
  </si>
  <si>
    <t>MSYYHHHHHHGSPSVQEVEKLLHVLDRNGDGKVSAEELKAFADDSKCPLDSNKIKAFIKEHDKNKDGKLDLKELVSILSSHHHHHHGSFENLYFQGCHMSQEHVKAFYERLAQDEVFKAQIEKAESKQECSQIVREAGYDFTQEEFEAFTAQLLDSSAEKNSFEELSEAELEAAVENLYFQGGCGPQPxVGVLPWA**</t>
  </si>
  <si>
    <t>pACYC-K-T7-lacO-Fh8-HypAc-TEV-Artificial-2</t>
  </si>
  <si>
    <t>MSYYHHHHHHGSPSVQEVEKLLHVLDRNGDGKVSAEELKAFADDSKCPLDSNKIKAFIKEHDKNKDGKLDLKELVSILSSHHHHHHGSFENLYFQGCHMSQEHVKAFYERLAQDEVFKAQIEKAESKQECSQIVREAGYDFTQEEFEAFTAQLLDSSAEKNSFEELSEAELEAAVENLYFQGGCGPQPVYGVILPWA**</t>
  </si>
  <si>
    <t>MSYYHHHHHHGSPSVQEVEKLLHVLDRNGDGKVSAEELKAFADDSKCPLDSNKIKAFIKEHDKNKDGKLDLKELVSILSSHHHHHHGSFENLYFQGCHMSQEHVKAFYERLAQDEVFKAQIEKAESKQECSQIVREAGYDFTQEEFEAFTAQLLDSSAEKNSFEELSEAELEAAVENLYFQGGCGPQPxVGVILPWA**</t>
  </si>
  <si>
    <t>pACYC-K-T7-lacO-Fh8-HypAc-TEV-Artificial-3</t>
  </si>
  <si>
    <t>MSYYHHHHHHGSPSVQEVEKLLHVLDRNGDGKVSAEELKAFADDSKCPLDSNKIKAFIKEHDKNKDGKLDLKELVSILSSHHHHHHGSFENLYFQGCHMSQEHVKAFYERLAQDEVFKAQIEKAESKQECSQIVREAGYDFTQEEFEAFTAQLLDSSAEKNSFEELSEAELEAAVENLYFQGGIGDPIPMYGISPIEFW**</t>
  </si>
  <si>
    <t>MSYYHHHHHHGSPSVQEVEKLLHVLDRNGDGKVSAEELKAFADDSKCPLDSNKIKAFIKEHDKNKDGKLDLKELVSILSSHHHHHHGSFENLYFQGCHMSQEHVKAFYERLAQDEVFKAQIEKAESKQECSQIVREAGYDFTQEEFEAFTAQLLDSSAEKNSFEELSEAELEAAVENLYFQGGIGDPIPxMGISPIEFW**</t>
  </si>
  <si>
    <t>pACYC-K-T7-lacO-Fh8-HypAc-TEV-Artificial-4</t>
  </si>
  <si>
    <t>MSYYHHHHHHGSPSVQEVEKLLHVLDRNGDGKVSAEELKAFADDSKCPLDSNKIKAFIKEHDKNKDGKLDLKELVSILSSHHHHHHGSFENLYFQGCHMSQEHVKAFYERLAQDEVFKAQIEKAESKQECSQIVREAGYDFTQEEFEAFTAQLLDSSAEKNSFEELSEAELEAAVENLYFQGGCAVAAMYGVVLPWA**</t>
  </si>
  <si>
    <t>MSYYHHHHHHGSPSVQEVEKLLHVLDRNGDGKVSAEELKAFADDSKCPLDSNKIKAFIKEHDKNKDGKLDLKELVSILSSHHHHHHGSFENLYFQGCHMSQEHVKAFYERLAQDEVFKAQIEKAESKQECSQIVREAGYDFTQEEFEAFTAQLLDSSAEKNSFEELSEAELEAAVENLYFQGGCAVAAxMGVVLPWA**</t>
  </si>
  <si>
    <t>pACYC-K-T7-lacO-PP1-RSTN-PlpA3-TEV-Artificial-2</t>
  </si>
  <si>
    <t>pACYC-K-T7-lacO-ElvJ-sfGFP-PlpA3-TEV-Artificial-2</t>
  </si>
  <si>
    <t>pACYC-K-T7-lacO-ElvJ-Pfu-MBP-PlpA3-TEV-Artificial-2</t>
  </si>
  <si>
    <t>pACYC-K-T7-lacO-ElvJ-Fka-MTR-PlpA3-TEV-Artificial-2</t>
  </si>
  <si>
    <t>MSYYHHHHHHGSLQDSEVNQEAKPEVKPEVKPETHINLKVSDGSSEIFFKIKKTTPLRRLMEAFAKRQGKEMDSLRFLYDGIRIQADQAPEDLDMEDNDIIEAHREQIGGHHHHHHGYDISTGHMSIESAKAFYQRMTDDASFRTPFEAELSKEERQQLIKDSGYDFTAEEWQQAMTEIQAARSNEELNEEELEAIAENLYFQGGCGPQPVYGVILPWA**</t>
  </si>
  <si>
    <t>MSYYHHHHHHGSLQDSEVNQEAKPEVKPEVKPETHINLKVSDGSSEIFFKIKKTTPLRRLMEAFAKRQGKEMDSLRFLYDGIRIQADQAPEDLDMEDNDIIEAHREQIGGHHHHHHGYDISTGHMSIESAKAFYQRMTDDASFRTPFEAELSKEERQQLIKDSGYDFTAEEWQQAMTEIQAARSNEELNEEELEAIAENLYFQGGCGPQPxVGVILPWA**</t>
  </si>
  <si>
    <t>MSYYHHHHHHGSILVELDGDVNGHKLVELDGDVNGHKFSVRGEGEGDATNGKLTPWPTLVTTLTYGVQCFSRYPDHMKRHDFFKYPDHMKRHDERTISFKEGYVQERTISFKDDGTYKTRAEELKGIDFKEDGNILGGIDEKEFNSILGYITADKFNSHNVYITADKQKNEDGSVQKIRHNVEDGSIGDGDVYQQDTHYLSTQSVLPDDPYEKRDHMVLLEFVTAAGITVGMDELYKAGITHGMDELYKGSFENLYFQGCHMSIESAKAFYQRMTDDASFRTPFEAELSKEERQQLIKDSGYDFTAEEWQQAMTEIQAARSNEELNEEELEAIAENLYFQGGCGPQPVYGVILPWA**</t>
  </si>
  <si>
    <t>MSYYHHHHHHGSILVELDGDVNGHKLVELDGDVNGHKFSVRGEGEGDATNGKLTPWPTLVTTLTYGVQCFSRYPDHMKRHDFFKYPDHMKRHDERTISFKEGYVQERTISFKDDGTYKTRAEELKGIDFKEDGNILGGIDEKEFNSILGYITADKFNSHNVYITADKQKNEDGSVQKIRHNVEDGSIGDGDVYQQDTHYLSTQSVLPDDPYEKRDHMVLLEFVTAAGITVGMDELYKAGITHGMDELYKGSFENLYFQGCHMSIESAKAFYQRMTDDASFRTPFEAELSKEERQQLIKDSGYDFTAEEWQQAMTEIQAARSNEELNEEELEAIAENLYFQGGCGPQPxVGVILPWA**</t>
  </si>
  <si>
    <t>MSYYHHHHHHGKIEEGKVVIWHAMQPNELEVFQSLAEEYMALCPEVEIVFEQKPNLEDALKAAIPTGQGPDLFIWAHDWIGKFAEAGLLEPIDEYVTEDLLNEFAPMAQDAMQYKGHYYALPFAAETVAIIYNKEMVSEPPKTFDEMKAIMEKYYDPANEKYGIAWPINAYFISAIAQAFGGYYFDDKTEQPGLDKPETIEGFKFFFTEIWPYMAPTGDYNTQQSIFLEGRAPMMVNGPWSINDVKKAGINFGVVPLPPIIKDGKEYWPRPYGGVKLIYFAAGIKNKDAAWKFAKWLTTSEESIKTLALELGYIPVLTKVLDDPEIKNDPVIYGFGQAVQHAYLMPKSPKMSAVWGGVDGAINEILQDPQNADIEGILKKYQQEILNNMQGGSFENLYFQGCHMSIESAKAFYQRMTDDASFRTPFEAELSKEERQQLIKDSGYDFTAEEWQQAMTEIQAARSNEELNEEELEAIAENLYFQGGCGPQPVYGVILPWA**</t>
  </si>
  <si>
    <t>MSYYHHHHHHGKIEEGKVVIWHAMQPNELEVFQSLAEEYMALCPEVEIVFEQKPNLEDALKAAIPTGQGPDLFIWAHDWIGKFAEAGLLEPIDEYVTEDLLNEFAPMAQDAMQYKGHYYALPFAAETVAIIYNKEMVSEPPKTFDEMKAIMEKYYDPANEKYGIAWPINAYFISAIAQAFGGYYFDDKTEQPGLDKPETIEGFKFFFTEIWPYMAPTGDYNTQQSIFLEGRAPMMVNGPWSINDVKKAGINFGVVPLPPIIKDGKEYWPRPYGGVKLIYFAAGIKNKDAAWKFAKWLTTSEESIKTLALELGYIPVLTKVLDDPEIKNDPVIYGFGQAVQHAYLMPKSPKMSAVWGGVDGAINEILQDPQNADIEGILKKYQQEILNNMQGGSFENLYFQGCHMSIESAKAFYQRMTDDASFRTPFEAELSKEERQQLIKDSGYDFTAEEWQQAMTEIQAARSNEELNEEELEAIAENLYFQGGCGPQPxVGVILPWA**</t>
  </si>
  <si>
    <t>MSYYHHHHHHGFAEAFEAIMARFLITAASHKAAMIAVAASHGFGMSVIMCPAEAGTSVIYVPPEEGIDCRPVPPEEIGHNDEDVLIMIGHDREDECVETLPDRIGQCVMPAPTASAFDAMPEKLSEDEDRVGYEDELDGDGYQKEPVVEGEFIVEDSFGITTGIAEDSFYIMAESQPGNFQAMEAAQPAGLQAAEAAVDAIKGIVASAAPFPGGIYDFLPASGSKQYCPTVEDTNDPYGVKCVYEIVINGLNEEAEIEAMRVGIEAVKEQPRVVKISAGQFGGVVGQSEIHLHDLFGQYEIHLHDLFGSFENLYFQGCHMSIESAKAFYQRMTDDASFRTPFEAELSKEERQQLIKDSGYDFTAEEWQQAMTEIQAARSNEELNEEELEAIAENLYFQGGCGPQPVYGVILPWA**</t>
  </si>
  <si>
    <t>MSYYHHHHHHGFAEAFEAIMARFLITAASHKAAMIAVAASHGFGMSVIMCPAEAGTSVIYVPPEEGIDCRPVPPEEIGHNDEDVLIMIGHDREDECVETLPDRIGQCVMPAPTASAFDAMPEKLSEDEDRVGYEDELDGDGYQKEPVVEGEFIVEDSFGITTGIAEDSFYIMAESQPGNFQAMEAAQPAGLQAAEAAVDAIKGIVASAAPFPGGIYDFLPASGSKQYCPTVEDTNDPYGVKCVYEIVINGLNEEAEIEAMRVGIEAVKEQPRVVKISAGQFGGVVGQSEIHLHDLFGQYEIHLHDLFGSFENLYFQGCHMSIESAKAFYQRMTDDASFRTPFEAELSKEERQQLIKDSGYDFTAEEWQQAMTEIQAARSNEELNEEELEAIAENLYFQGGCGPQPxVGVILPWA**</t>
  </si>
  <si>
    <t>pACYC-T7-lacO-ElvJ-100k-Fh8-HypA1-HypA1</t>
  </si>
  <si>
    <t>MSYYHHHHHHGSPSVQEVEKLLHVLDRNGDGKVSAEELKAFADDSKCPLDSNKIKAFIKEHDKNKDGKLDLKELVSILSSHHHHHHGSFENLYFQGCHMSQEQVKSFYERLAQDEVFKAQIEGAESPQECSQIMREAGYDFTQEEFEAFTAQLLDSDDAKNSFDELSEKTLEAVLGGCGDPQPVYGVIQ**</t>
  </si>
  <si>
    <t>MSYYHHHHHHGSPSVQEVEKLLHVLDRNGDGKVSAEELKAFADDSKCPLDSNKIKAFIKEHDKNKDGKLDLKELVSILSSHHHHHHGSFENLYFQGCHMSQEQVKSFYERLAQDEVFKAQIEGAESPQECSQIMREAGYDFTQEEFEAFTAQLLDSDDAKNSFDELSEKTLEAVLGGCGDPQPxVGVIQ**</t>
  </si>
  <si>
    <t>pACYC-T7-lacO-ElvJ-100k-Fh8-HypA2-HypA2</t>
  </si>
  <si>
    <t>MSYYHHHHHHGSPSVQEVEKLLHVLDRNGDGKVSAEELKAFADDSKCPLDSNKIKAFIKEHDKNKDGKLDLKELVSILSSHHHHHHGSFENLYFQGCHMSQEHVKAFYERLAQDEVFKAQIEKAESKQECSQIVREAGYDFTQEEFEAFTAQLLDSSAEKNSFEELSEAELEAAVGGSAQVYGTTTSTTVLF**</t>
  </si>
  <si>
    <t>MSYYHHHHHHGSPSVQEVEKLLHVLDRNGDGKVSAEELKAFADDSKCPLDSNKIKAFIKEHDKNKDGKLDLKELVSILSSHHHHHHGSFENLYFQGCHMSQEHVKAFYERLAQDEVFKAQIEKAESKQECSQIVREAGYDFTQEEFEAFTAQLLDSSAEKNSFEELSEAELEAAVGGSAQxVGTTTSTTVLF**</t>
  </si>
  <si>
    <t>pACYC-T7-lacO-ElvJ-100k-Fh8-HypA3-HypA3</t>
  </si>
  <si>
    <t>MSYYHHHHHHGSPSVQEVEKLLHVLDRNGDGKVSAEELKAFADDSKCPLDSNKIKAFIKEHDKNKDGKLDLKELVSILSSHHHHHHGSFENLYFQGCHMSQEHVKAFYERLAQDEVFKAQIEKAESKQECSQIVREAGYDFTQEEFEAFTAQLLDSSAEKNSFEELSEAELEAAVGGRPTYQCYGVIE**</t>
  </si>
  <si>
    <t>MSYYHHHHHHGSPSVQEVEKLLHVLDRNGDGKVSAEELKAFADDSKCPLDSNKIKAFIKEHDKNKDGKLDLKELVSILSSHHHHHHGSFENLYFQGCHMSQEHVKAFYERLAQDEVFKAQIEKAESKQECSQIVREAGYDFTQEEFEAFTAQLLDSSAEKNSFEELSEAELEAAVGGRPTYQxCGVIE**,MSYYHHHHHHGSPSVQEVEKLLHVLDRNGDGKVSAEELKAFADDSKCPLDSNKIKAFIKEHDKNKDGKLDLKELVSILSSHHHHHHGSFENLYFQGCHMSQEHVKAFYERLAQDEVFKAQIEKAESKQECSQIVREAGYDFTQEEFEAFTAQLLDSSAEKNSFEELSEAELEAAVGGRPTYQxdhAGVIE**</t>
  </si>
  <si>
    <t>("spliced", 1),("spliced dehydrated")</t>
  </si>
  <si>
    <t>pACYC-T7-lacO-ElvJ-100k-Fh8-HypA4-HypA4</t>
  </si>
  <si>
    <t>MSYYHHHHHHGSPSVQEVEKLLHVLDRNGDGKVSAEELKAFADDSKCPLDSNKIKAFIKEHDKNKDGKLDLKELVSILSSHHHHHHGSFENLYFQGCHMSQEHVKAFYERLAQDEVFKAQIEKAESKQECSQIVREAGYDFTQEEFEAFTAQLLDSSAEKNSFEELSEAELEAAVGGFLLPINPNPIQTYGIPPIH**</t>
  </si>
  <si>
    <t>MSYYHHHHHHGSPSVQEVEKLLHVLDRNGDGKVSAEELKAFADDSKCPLDSNKIKAFIKEHDKNKDGKLDLKELVSILSSHHHHHHGSFENLYFQGCHMSQEHVKAFYERLAQDEVFKAQIEKAESKQECSQIVREAGYDFTQEEFEAFTAQLLDSSAEKNSFEELSEAELEAAVGGFLLPINPNPIQxTGIPPIH**,MSYYHHHHHHGSPSVQEVEKLLHVLDRNGDGKVSAEELKAFADDSKCPLDSNKIKAFIKEHDKNKDGKLDLKELVSILSSHHHHHHGSFENLYFQGCHMSQEHVKAFYERLAQDEVFKAQIEKAESKQECSQIVREAGYDFTQEEFEAFTAQLLDSSAEKNSFEELSEAELEAAVGGFLLPINPNPIQxdhBGIPPIH**,MSYYHHHHHHGSPSVQEVEKLLHVLDRNGDGKVSAEELKAFADDSKCPLDSNKIKAFIKEHDKNKDGKLDLKELVSILSSHHHHHHGSFENLYFQGCHMSQEHVKAFYERLAQDEVFKAQIEKAESKQECSQIVREAGYDFTQEEFEAFTAQLLDSSAEKNSFEELSEAELEAAVGGFLLPINPNPIQxGGIPPIH**</t>
  </si>
  <si>
    <t>pACYC-T7-lacO-ElvJ-100k-Fh8-HypA5-HypA5</t>
  </si>
  <si>
    <t>MSYYHHHHHHGSPSVQEVEKLLHVLDRNGDGKVSAEELKAFADDSKCPLDSNKIKAFIKEHDKNKDGKLDLKELVSILSSHHHHHHGSFENLYFQGCHMSQEHVKAFYERLAQDEIFKAQIEKAKTKQECSQIVREAGYIFTQEEFEAFTAQLLDSSAELNSEQLGEAELEAAVGGFLLEKVIDLVQAYGLPPGL**</t>
  </si>
  <si>
    <t>MSYYHHHHHHGSPSVQEVEKLLHVLDRNGDGKVSAEELKAFADDSKCPLDSNKIKAFIKEHDKNKDGKLDLKELVSILSSHHHHHHGSFENLYFQGCHMSQEHVKAFYERLAQDEIFKAQIEKAKTKQECSQIVREAGYIFTQEEFEAFTAQLLDSSAELNSEQLGEAELEAAVGGFLLEKVIDLVQxAGLPPGL**</t>
  </si>
  <si>
    <t>pACYC-T7-lacO-ElvJ-100k-Fh8-HypA6-HypA6</t>
  </si>
  <si>
    <t>pACYC-T7-lacO-ElvJ-100k-Fh8-HypA6-HypA7</t>
  </si>
  <si>
    <t>pACYC-T7-lacO-ElvJ-100k-Fh8-HypA6-HypA8</t>
  </si>
  <si>
    <t>MSYYHHHHHHGSPSVQEVEKLLHVLDRNGDGKVSAEELKAFADDSKCPLDSNKIKAFIKEHDKNKDGKLDLKELVSILSSHHHHHHGSFENLYFQGCHMSQEHVKAFYERLAQDEVFKAQIEKAESKQECSQIVREAGYDFTQEEFEAFTAQLLDSSAEKNSEELSEAELEAAVGGFLKEKLIGDPIPMYGISPIEFW**</t>
  </si>
  <si>
    <t>MSYYHHHHHHGSPSVQEVEKLLHVLDRNGDGKVSAEELKAFADDSKCPLDSNKIKAFIKEHDKNKDGKLDLKELVSILSSHHHHHHGSFENLYFQGCHMSQEHVKAFYERLAQDEVFKAQIEKAESKQECSQIVREAGYDFTQEEFEAFTAQLLDSSAEKNSEELSEAELEAAVGGFLKEKLIGDPIPxMGISPIEFW**</t>
  </si>
  <si>
    <t>pACYC-T7-lacO-ElvJ-100k-Fh8-HypA7-HypA7</t>
  </si>
  <si>
    <t>pACYC-T7-lacO-ElvJ-100k-Fh8-HypA7-HypA8</t>
  </si>
  <si>
    <t>pACYC-T7-lacO-ElvJ-100k-Fh8-HypA7-HypA9</t>
  </si>
  <si>
    <t>MSYYHHHHHHGSPSVQEVEKLLHVLDRNGDGKVSAEELKAFADDSKCPLDSNKIKAFIKEHDKNKDGKLDLKELVSILSSHHHHHHGSFENLYFQGCHMSQEHVKAFYERLAQDEVFKAQIEKAESKQECSQIVREAGYDFTQEEFEAFTAQLLDSSAEKNSEELSEAELEAAVGGINALFQENRINFVPPYGLPPDWVP**</t>
  </si>
  <si>
    <t>MSYYHHHHHHGSPSVQEVEKLLHVLDRNGDGKVSAEELKAFADDSKCPLDSNKIKAFIKEHDKNKDGKLDLKELVSILSSHHHHHHGSFENLYFQGCHMSQEHVKAFYERLAQDEVFKAQIEKAESKQECSQIVREAGYDFTQEEFEAFTAQLLDSSAEKNSEELSEAELEAAVGGINALFQENRINFVPxPGLPPDWVP**</t>
  </si>
  <si>
    <t>pACYC-K-T7-lacO-PP1-RSTN-HypAc-TEV-Artificial-2</t>
  </si>
  <si>
    <t>MSYYHHHHHHGSLQDSEVNQEAKPEVKPEVKPETHINLKVSDGSSEIFFKIKKTTPLRRLMEAFAKRQGKEMDSLRFLYDGIRIQADQAPEDLDMEDNDIIEAHREQIGGHHHHHHGYDISTGHMSQEHVKAFYERLAQDEVFKAQIEKAESKQECSQIVREAGYDFTQEEFEAFTAQLLDSSAEKNSFEELSEAELEAAVENLYFQGGCGPQPVYGVILPWA**</t>
  </si>
  <si>
    <t>MSYYHHHHHHGSLQDSEVNQEAKPEVKPEVKPETHINLKVSDGSSEIFFKIKKTTPLRRLMEAFAKRQGKEMDSLRFLYDGIRIQADQAPEDLDMEDNDIIEAHREQIGGHHHHHHGYDISTGHMSQEHVKAFYERLAQDEVFKAQIEKAESKQECSQIVREAGYDFTQEEFEAFTAQLLDSSAEKNSFEELSEAELEAAVENLYFQGGCGPQPxVGVILPWA**</t>
  </si>
  <si>
    <t>pACYC-K-T7-lacO-ElvJ-sfGFP-HypAc-TEV-Artificial-2</t>
  </si>
  <si>
    <t>MSYYHHHHHHGSILVELDGDVNGHKLVELDGDVNGHKFSVRGEGEGDATNGKLTPWPTLVTTLTYGVQCFSRYPDHMKRHDFFKYPDHMKRHDERTISFKEGYVQERTISFKDDGTYKTRAEELKGIDFKEDGNILGGIDEKEFNSILGYITADKFNSHNVYITADKQKNEDGSVQKIRHNVEDGSIGDGDVYQQDTHYLSTQSVLPDDPYEKRDHMVLLEFVTAAGITVGMDELYKAGITHGMDELYKGSFENLYFQGCHMSQEHVKAFYERLAQDEVFKAQIEKAESKQECSQIVREAGYDFTQEEFEAFTAQLLDSSAEKNSFEELSEAELEAAVENLYFQGGCGPQPVYGVILPWA**</t>
  </si>
  <si>
    <t>MSYYHHHHHHGSILVELDGDVNGHKLVELDGDVNGHKFSVRGEGEGDATNGKLTPWPTLVTTLTYGVQCFSRYPDHMKRHDFFKYPDHMKRHDERTISFKEGYVQERTISFKDDGTYKTRAEELKGIDFKEDGNILGGIDEKEFNSILGYITADKFNSHNVYITADKQKNEDGSVQKIRHNVEDGSIGDGDVYQQDTHYLSTQSVLPDDPYEKRDHMVLLEFVTAAGITVGMDELYKAGITHGMDELYKGSFENLYFQGCHMSQEHVKAFYERLAQDEVFKAQIEKAESKQECSQIVREAGYDFTQEEFEAFTAQLLDSSAEKNSFEELSEAELEAAVENLYFQGGCGPQPxVGVILPWA**</t>
  </si>
  <si>
    <t>pACYC-K-T7-lacO-ElvJ-Pfu-MBP-HypAc-TEV-Artificial-2</t>
  </si>
  <si>
    <t>MSYYHHHHHHGKIEEGKVVIWHAMQPNELEVFQSLAEEYMALCPEVEIVFEQKPNLEDALKAAIPTGQGPDLFIWAHDWIGKFAEAGLLEPIDEYVTEDLLNEFAPMAQDAMQYKGHYYALPFAAETVAIIYNKEMVSEPPKTFDEMKAIMEKYYDPANEKYGIAWPINAYFISAIAQAFGGYYFDDKTEQPGLDKPETIEGFKFFFTEIWPYMAPTGDYNTQQSIFLEGRAPMMVNGPWSINDVKKAGINFGVVPLPPIIKDGKEYWPRPYGGVKLIYFAAGIKNKDAAWKFAKWLTTSEESIKTLALELGYIPVLTKVLDDPEIKNDPVIYGFGQAVQHAYLMPKSPKMSAVWGGVDGAINEILQDPQNADIEGILKKYQQEILNNMQGGSFENLYFQGCHMSQEHVKAFYERLAQDEVFKAQIEKAESKQECSQIVREAGYDFTQEEFEAFTAQLLDSSAEKNSFEELSEAELEAAVENLYFQGGCGPQPVYGVILPWA**</t>
  </si>
  <si>
    <t>MSYYHHHHHHGKIEEGKVVIWHAMQPNELEVFQSLAEEYMALCPEVEIVFEQKPNLEDALKAAIPTGQGPDLFIWAHDWIGKFAEAGLLEPIDEYVTEDLLNEFAPMAQDAMQYKGHYYALPFAAETVAIIYNKEMVSEPPKTFDEMKAIMEKYYDPANEKYGIAWPINAYFISAIAQAFGGYYFDDKTEQPGLDKPETIEGFKFFFTEIWPYMAPTGDYNTQQSIFLEGRAPMMVNGPWSINDVKKAGINFGVVPLPPIIKDGKEYWPRPYGGVKLIYFAAGIKNKDAAWKFAKWLTTSEESIKTLALELGYIPVLTKVLDDPEIKNDPVIYGFGQAVQHAYLMPKSPKMSAVWGGVDGAINEILQDPQNADIEGILKKYQQEILNNMQGGSFENLYFQGCHMSQEHVKAFYERLAQDEVFKAQIEKAESKQECSQIVREAGYDFTQEEFEAFTAQLLDSSAEKNSFEELSEAELEAAVENLYFQGGCGPQPxVGVILPWA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</si>
</sst>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topLeftCell="S105" zoomScale="70" zoomScaleNormal="70" workbookViewId="0">
      <selection activeCell="AA62" sqref="AA62"/>
    </sheetView>
  </sheetViews>
  <sheetFormatPr defaultRowHeight="14.4" x14ac:dyDescent="0.55000000000000004"/>
  <cols>
    <col min="1" max="1" width="19.89453125" customWidth="1"/>
    <col min="2" max="2" width="15.26171875" customWidth="1"/>
    <col min="3" max="3" width="24.1015625" customWidth="1"/>
    <col min="4" max="4" width="17.5234375" customWidth="1"/>
    <col min="5" max="5" width="8.3125" customWidth="1"/>
    <col min="7" max="7" width="18.578125" customWidth="1"/>
    <col min="8" max="8" width="21.1015625" customWidth="1"/>
    <col min="9" max="9" width="17.9453125" customWidth="1"/>
    <col min="10" max="10" width="23.20703125" customWidth="1"/>
    <col min="11" max="11" width="20.68359375" customWidth="1"/>
    <col min="12" max="12" width="59.05078125" customWidth="1"/>
    <col min="13" max="13" width="23.62890625" customWidth="1"/>
    <col min="16" max="16" width="12.68359375" customWidth="1"/>
    <col min="17" max="17" width="5.89453125" customWidth="1"/>
    <col min="18" max="18" width="10.9453125" customWidth="1"/>
    <col min="19" max="19" width="31.578125" customWidth="1"/>
    <col min="20" max="20" width="91.734375" customWidth="1"/>
    <col min="21" max="21" width="96.83984375" customWidth="1"/>
    <col min="22" max="22" width="22.89453125" customWidth="1"/>
    <col min="25" max="25" width="23.7890625" customWidth="1"/>
  </cols>
  <sheetData>
    <row r="1" spans="1:2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42</v>
      </c>
    </row>
    <row r="2" spans="1:26" x14ac:dyDescent="0.55000000000000004">
      <c r="A2" t="s">
        <v>223</v>
      </c>
      <c r="B2" t="str">
        <f>LEFT(T2,10)</f>
        <v>2024_08_29</v>
      </c>
      <c r="C2" t="s">
        <v>220</v>
      </c>
      <c r="D2" s="3" t="s">
        <v>41</v>
      </c>
      <c r="F2" t="s">
        <v>25</v>
      </c>
      <c r="G2" t="s">
        <v>26</v>
      </c>
      <c r="H2" t="s">
        <v>33</v>
      </c>
      <c r="I2" t="s">
        <v>28</v>
      </c>
      <c r="J2" t="s">
        <v>29</v>
      </c>
      <c r="K2" t="s">
        <v>191</v>
      </c>
      <c r="L2" t="s">
        <v>372</v>
      </c>
      <c r="M2" t="s">
        <v>29</v>
      </c>
      <c r="N2" t="s">
        <v>30</v>
      </c>
      <c r="O2">
        <v>24</v>
      </c>
      <c r="P2">
        <v>30</v>
      </c>
      <c r="Q2">
        <v>22</v>
      </c>
      <c r="R2" t="s">
        <v>177</v>
      </c>
      <c r="S2" t="s">
        <v>46</v>
      </c>
      <c r="T2" s="2" t="s">
        <v>57</v>
      </c>
      <c r="U2" t="str">
        <f>_xlfn.CONCAT("C:\Users\jordant\PycharmProjects\LCMS_RiPP\output_data_flasks","\",H2,"_",K2,"_",A2)</f>
        <v>C:\Users\jordant\PycharmProjects\LCMS_RiPP\output_data_flasks\TJ-C-560_TJ-C-593_unique_sample_1</v>
      </c>
      <c r="V2" s="5" t="s">
        <v>353</v>
      </c>
      <c r="W2">
        <v>183</v>
      </c>
      <c r="X2">
        <v>0</v>
      </c>
      <c r="Y2" s="5" t="s">
        <v>354</v>
      </c>
      <c r="Z2" t="s">
        <v>43</v>
      </c>
    </row>
    <row r="3" spans="1:26" x14ac:dyDescent="0.55000000000000004">
      <c r="A3" t="s">
        <v>224</v>
      </c>
      <c r="B3" t="str">
        <f t="shared" ref="B3:B66" si="0">LEFT(T3,10)</f>
        <v>2024_09_09</v>
      </c>
      <c r="C3" t="s">
        <v>220</v>
      </c>
      <c r="D3" s="3" t="s">
        <v>41</v>
      </c>
      <c r="F3" t="s">
        <v>25</v>
      </c>
      <c r="G3" t="s">
        <v>26</v>
      </c>
      <c r="H3" t="s">
        <v>33</v>
      </c>
      <c r="I3" t="s">
        <v>28</v>
      </c>
      <c r="J3" t="s">
        <v>29</v>
      </c>
      <c r="K3" t="s">
        <v>191</v>
      </c>
      <c r="L3" t="s">
        <v>372</v>
      </c>
      <c r="M3" t="s">
        <v>29</v>
      </c>
      <c r="N3" t="s">
        <v>30</v>
      </c>
      <c r="O3">
        <v>24</v>
      </c>
      <c r="P3">
        <v>30</v>
      </c>
      <c r="Q3">
        <v>22</v>
      </c>
      <c r="R3" t="s">
        <v>177</v>
      </c>
      <c r="S3" t="s">
        <v>46</v>
      </c>
      <c r="T3" s="2" t="s">
        <v>56</v>
      </c>
      <c r="U3" t="str">
        <f t="shared" ref="U3:U66" si="1">_xlfn.CONCAT("C:\Users\jordant\PycharmProjects\LCMS_RiPP\output_data_flasks","\",H3,"_",K3,"_",A3)</f>
        <v>C:\Users\jordant\PycharmProjects\LCMS_RiPP\output_data_flasks\TJ-C-560_TJ-C-593_unique_sample_2</v>
      </c>
      <c r="V3" s="5" t="s">
        <v>353</v>
      </c>
      <c r="W3">
        <v>183</v>
      </c>
      <c r="X3">
        <v>0</v>
      </c>
      <c r="Y3" s="5" t="s">
        <v>354</v>
      </c>
      <c r="Z3" t="s">
        <v>43</v>
      </c>
    </row>
    <row r="4" spans="1:26" x14ac:dyDescent="0.55000000000000004">
      <c r="A4" t="s">
        <v>225</v>
      </c>
      <c r="B4" t="str">
        <f t="shared" si="0"/>
        <v>2024_09_25</v>
      </c>
      <c r="C4" t="s">
        <v>220</v>
      </c>
      <c r="D4" s="3" t="s">
        <v>41</v>
      </c>
      <c r="F4" t="s">
        <v>25</v>
      </c>
      <c r="G4" t="s">
        <v>26</v>
      </c>
      <c r="H4" t="s">
        <v>33</v>
      </c>
      <c r="I4" t="s">
        <v>28</v>
      </c>
      <c r="J4" t="s">
        <v>29</v>
      </c>
      <c r="K4" t="s">
        <v>191</v>
      </c>
      <c r="L4" t="s">
        <v>372</v>
      </c>
      <c r="M4" t="s">
        <v>29</v>
      </c>
      <c r="N4" t="s">
        <v>30</v>
      </c>
      <c r="O4">
        <v>24</v>
      </c>
      <c r="P4">
        <v>30</v>
      </c>
      <c r="Q4">
        <v>22</v>
      </c>
      <c r="R4" t="s">
        <v>177</v>
      </c>
      <c r="S4" t="s">
        <v>46</v>
      </c>
      <c r="T4" s="2" t="s">
        <v>64</v>
      </c>
      <c r="U4" t="str">
        <f t="shared" si="1"/>
        <v>C:\Users\jordant\PycharmProjects\LCMS_RiPP\output_data_flasks\TJ-C-560_TJ-C-593_unique_sample_3</v>
      </c>
      <c r="V4" s="5" t="s">
        <v>353</v>
      </c>
      <c r="W4">
        <v>183</v>
      </c>
      <c r="X4">
        <v>0</v>
      </c>
      <c r="Y4" s="5" t="s">
        <v>354</v>
      </c>
      <c r="Z4" t="s">
        <v>43</v>
      </c>
    </row>
    <row r="5" spans="1:26" x14ac:dyDescent="0.55000000000000004">
      <c r="A5" t="s">
        <v>226</v>
      </c>
      <c r="B5" t="str">
        <f t="shared" si="0"/>
        <v>2024_08_29</v>
      </c>
      <c r="C5" t="s">
        <v>220</v>
      </c>
      <c r="D5" s="3" t="s">
        <v>41</v>
      </c>
      <c r="F5" t="s">
        <v>25</v>
      </c>
      <c r="G5" t="s">
        <v>26</v>
      </c>
      <c r="H5" t="s">
        <v>33</v>
      </c>
      <c r="I5" t="s">
        <v>28</v>
      </c>
      <c r="J5" t="s">
        <v>29</v>
      </c>
      <c r="K5" t="s">
        <v>192</v>
      </c>
      <c r="L5" t="s">
        <v>371</v>
      </c>
      <c r="M5" t="s">
        <v>29</v>
      </c>
      <c r="N5" t="s">
        <v>30</v>
      </c>
      <c r="O5">
        <v>24</v>
      </c>
      <c r="P5">
        <v>30</v>
      </c>
      <c r="Q5">
        <v>22</v>
      </c>
      <c r="R5" t="s">
        <v>177</v>
      </c>
      <c r="S5" t="s">
        <v>46</v>
      </c>
      <c r="T5" s="2" t="s">
        <v>47</v>
      </c>
      <c r="U5" t="str">
        <f t="shared" si="1"/>
        <v>C:\Users\jordant\PycharmProjects\LCMS_RiPP\output_data_flasks\TJ-C-560_TJ-C-594_unique_sample_4</v>
      </c>
      <c r="V5" s="5" t="s">
        <v>355</v>
      </c>
      <c r="W5">
        <v>185</v>
      </c>
      <c r="X5">
        <v>0</v>
      </c>
      <c r="Y5" s="5" t="s">
        <v>356</v>
      </c>
      <c r="Z5" t="s">
        <v>43</v>
      </c>
    </row>
    <row r="6" spans="1:26" x14ac:dyDescent="0.55000000000000004">
      <c r="A6" t="s">
        <v>227</v>
      </c>
      <c r="B6" t="str">
        <f t="shared" si="0"/>
        <v>2024_09_09</v>
      </c>
      <c r="C6" t="s">
        <v>220</v>
      </c>
      <c r="D6" s="3" t="s">
        <v>41</v>
      </c>
      <c r="F6" t="s">
        <v>25</v>
      </c>
      <c r="G6" t="s">
        <v>26</v>
      </c>
      <c r="H6" t="s">
        <v>33</v>
      </c>
      <c r="I6" t="s">
        <v>28</v>
      </c>
      <c r="J6" t="s">
        <v>29</v>
      </c>
      <c r="K6" t="s">
        <v>192</v>
      </c>
      <c r="L6" t="s">
        <v>371</v>
      </c>
      <c r="M6" t="s">
        <v>29</v>
      </c>
      <c r="N6" t="s">
        <v>30</v>
      </c>
      <c r="O6">
        <v>24</v>
      </c>
      <c r="P6">
        <v>30</v>
      </c>
      <c r="Q6">
        <v>22</v>
      </c>
      <c r="R6" t="s">
        <v>177</v>
      </c>
      <c r="S6" t="s">
        <v>46</v>
      </c>
      <c r="T6" s="2" t="s">
        <v>58</v>
      </c>
      <c r="U6" t="str">
        <f t="shared" si="1"/>
        <v>C:\Users\jordant\PycharmProjects\LCMS_RiPP\output_data_flasks\TJ-C-560_TJ-C-594_unique_sample_5</v>
      </c>
      <c r="V6" s="5" t="s">
        <v>355</v>
      </c>
      <c r="W6">
        <v>185</v>
      </c>
      <c r="X6">
        <v>0</v>
      </c>
      <c r="Y6" s="5" t="s">
        <v>356</v>
      </c>
      <c r="Z6" t="s">
        <v>43</v>
      </c>
    </row>
    <row r="7" spans="1:26" x14ac:dyDescent="0.55000000000000004">
      <c r="A7" t="s">
        <v>228</v>
      </c>
      <c r="B7" t="str">
        <f t="shared" si="0"/>
        <v>2024_08_29</v>
      </c>
      <c r="C7" t="s">
        <v>220</v>
      </c>
      <c r="D7" s="3" t="s">
        <v>41</v>
      </c>
      <c r="F7" t="s">
        <v>25</v>
      </c>
      <c r="G7" t="s">
        <v>26</v>
      </c>
      <c r="H7" t="s">
        <v>33</v>
      </c>
      <c r="I7" t="s">
        <v>28</v>
      </c>
      <c r="J7" t="s">
        <v>29</v>
      </c>
      <c r="K7" t="s">
        <v>193</v>
      </c>
      <c r="L7" t="s">
        <v>370</v>
      </c>
      <c r="M7" t="s">
        <v>29</v>
      </c>
      <c r="N7" t="s">
        <v>30</v>
      </c>
      <c r="O7">
        <v>24</v>
      </c>
      <c r="P7">
        <v>30</v>
      </c>
      <c r="Q7">
        <v>22</v>
      </c>
      <c r="R7" t="s">
        <v>177</v>
      </c>
      <c r="S7" t="s">
        <v>46</v>
      </c>
      <c r="T7" s="2" t="s">
        <v>48</v>
      </c>
      <c r="U7" t="str">
        <f t="shared" si="1"/>
        <v>C:\Users\jordant\PycharmProjects\LCMS_RiPP\output_data_flasks\TJ-C-560_TJ-C-595_unique_sample_6</v>
      </c>
      <c r="V7" s="5" t="s">
        <v>357</v>
      </c>
      <c r="W7">
        <v>183</v>
      </c>
      <c r="X7">
        <v>0</v>
      </c>
      <c r="Y7" s="5" t="s">
        <v>358</v>
      </c>
      <c r="Z7" t="s">
        <v>362</v>
      </c>
    </row>
    <row r="8" spans="1:26" x14ac:dyDescent="0.55000000000000004">
      <c r="A8" t="s">
        <v>229</v>
      </c>
      <c r="B8" t="str">
        <f t="shared" si="0"/>
        <v>2024_09_09</v>
      </c>
      <c r="C8" t="s">
        <v>220</v>
      </c>
      <c r="D8" s="3" t="s">
        <v>41</v>
      </c>
      <c r="F8" t="s">
        <v>25</v>
      </c>
      <c r="G8" t="s">
        <v>26</v>
      </c>
      <c r="H8" t="s">
        <v>33</v>
      </c>
      <c r="I8" t="s">
        <v>28</v>
      </c>
      <c r="J8" t="s">
        <v>29</v>
      </c>
      <c r="K8" t="s">
        <v>193</v>
      </c>
      <c r="L8" t="s">
        <v>370</v>
      </c>
      <c r="M8" t="s">
        <v>29</v>
      </c>
      <c r="N8" t="s">
        <v>30</v>
      </c>
      <c r="O8">
        <v>24</v>
      </c>
      <c r="P8">
        <v>30</v>
      </c>
      <c r="Q8">
        <v>22</v>
      </c>
      <c r="R8" t="s">
        <v>177</v>
      </c>
      <c r="S8" t="s">
        <v>46</v>
      </c>
      <c r="T8" s="2" t="s">
        <v>59</v>
      </c>
      <c r="U8" t="str">
        <f t="shared" si="1"/>
        <v>C:\Users\jordant\PycharmProjects\LCMS_RiPP\output_data_flasks\TJ-C-560_TJ-C-595_unique_sample_7</v>
      </c>
      <c r="V8" s="5" t="s">
        <v>357</v>
      </c>
      <c r="W8">
        <v>183</v>
      </c>
      <c r="X8">
        <v>0</v>
      </c>
      <c r="Y8" s="5" t="s">
        <v>358</v>
      </c>
      <c r="Z8" t="s">
        <v>362</v>
      </c>
    </row>
    <row r="9" spans="1:26" x14ac:dyDescent="0.55000000000000004">
      <c r="A9" t="s">
        <v>230</v>
      </c>
      <c r="B9" t="str">
        <f t="shared" si="0"/>
        <v>2024_08_29</v>
      </c>
      <c r="C9" t="s">
        <v>220</v>
      </c>
      <c r="D9" s="3" t="s">
        <v>41</v>
      </c>
      <c r="F9" t="s">
        <v>25</v>
      </c>
      <c r="G9" t="s">
        <v>26</v>
      </c>
      <c r="H9" t="s">
        <v>33</v>
      </c>
      <c r="I9" t="s">
        <v>28</v>
      </c>
      <c r="J9" t="s">
        <v>29</v>
      </c>
      <c r="K9" t="s">
        <v>194</v>
      </c>
      <c r="L9" t="s">
        <v>369</v>
      </c>
      <c r="M9" t="s">
        <v>29</v>
      </c>
      <c r="N9" t="s">
        <v>30</v>
      </c>
      <c r="O9">
        <v>24</v>
      </c>
      <c r="P9">
        <v>30</v>
      </c>
      <c r="Q9">
        <v>22</v>
      </c>
      <c r="R9" t="s">
        <v>177</v>
      </c>
      <c r="S9" t="s">
        <v>46</v>
      </c>
      <c r="T9" s="2" t="s">
        <v>49</v>
      </c>
      <c r="U9" t="str">
        <f t="shared" si="1"/>
        <v>C:\Users\jordant\PycharmProjects\LCMS_RiPP\output_data_flasks\TJ-C-560_TJ-C-596_unique_sample_8</v>
      </c>
      <c r="V9" s="5" t="s">
        <v>359</v>
      </c>
      <c r="W9">
        <v>182</v>
      </c>
      <c r="X9">
        <v>0</v>
      </c>
      <c r="Y9" s="5" t="s">
        <v>360</v>
      </c>
      <c r="Z9" t="s">
        <v>361</v>
      </c>
    </row>
    <row r="10" spans="1:26" x14ac:dyDescent="0.55000000000000004">
      <c r="A10" t="s">
        <v>231</v>
      </c>
      <c r="B10" t="str">
        <f t="shared" si="0"/>
        <v>2024_09_09</v>
      </c>
      <c r="C10" t="s">
        <v>220</v>
      </c>
      <c r="D10" s="3" t="s">
        <v>41</v>
      </c>
      <c r="F10" t="s">
        <v>25</v>
      </c>
      <c r="G10" t="s">
        <v>26</v>
      </c>
      <c r="H10" t="s">
        <v>33</v>
      </c>
      <c r="I10" t="s">
        <v>28</v>
      </c>
      <c r="J10" t="s">
        <v>29</v>
      </c>
      <c r="K10" t="s">
        <v>194</v>
      </c>
      <c r="L10" t="s">
        <v>369</v>
      </c>
      <c r="M10" t="s">
        <v>29</v>
      </c>
      <c r="N10" t="s">
        <v>30</v>
      </c>
      <c r="O10">
        <v>24</v>
      </c>
      <c r="P10">
        <v>30</v>
      </c>
      <c r="Q10">
        <v>22</v>
      </c>
      <c r="R10" t="s">
        <v>177</v>
      </c>
      <c r="S10" t="s">
        <v>46</v>
      </c>
      <c r="T10" s="2" t="s">
        <v>60</v>
      </c>
      <c r="U10" t="str">
        <f t="shared" si="1"/>
        <v>C:\Users\jordant\PycharmProjects\LCMS_RiPP\output_data_flasks\TJ-C-560_TJ-C-596_unique_sample_9</v>
      </c>
      <c r="V10" s="5" t="s">
        <v>359</v>
      </c>
      <c r="W10">
        <v>182</v>
      </c>
      <c r="X10">
        <v>0</v>
      </c>
      <c r="Y10" s="5" t="s">
        <v>360</v>
      </c>
      <c r="Z10" t="s">
        <v>361</v>
      </c>
    </row>
    <row r="11" spans="1:26" x14ac:dyDescent="0.55000000000000004">
      <c r="A11" t="s">
        <v>232</v>
      </c>
      <c r="B11" t="str">
        <f t="shared" si="0"/>
        <v>2024_08_29</v>
      </c>
      <c r="C11" t="s">
        <v>220</v>
      </c>
      <c r="D11" s="3" t="s">
        <v>41</v>
      </c>
      <c r="F11" t="s">
        <v>25</v>
      </c>
      <c r="G11" t="s">
        <v>26</v>
      </c>
      <c r="H11" t="s">
        <v>33</v>
      </c>
      <c r="I11" t="s">
        <v>28</v>
      </c>
      <c r="J11" t="s">
        <v>29</v>
      </c>
      <c r="K11" t="s">
        <v>195</v>
      </c>
      <c r="L11" t="s">
        <v>368</v>
      </c>
      <c r="M11" t="s">
        <v>29</v>
      </c>
      <c r="N11" t="s">
        <v>30</v>
      </c>
      <c r="O11">
        <v>24</v>
      </c>
      <c r="P11">
        <v>30</v>
      </c>
      <c r="Q11">
        <v>22</v>
      </c>
      <c r="R11" t="s">
        <v>177</v>
      </c>
      <c r="S11" t="s">
        <v>46</v>
      </c>
      <c r="T11" s="2" t="s">
        <v>50</v>
      </c>
      <c r="U11" t="str">
        <f t="shared" si="1"/>
        <v>C:\Users\jordant\PycharmProjects\LCMS_RiPP\output_data_flasks\TJ-C-560_TJ-C-597_unique_sample_10</v>
      </c>
      <c r="V11" s="5" t="s">
        <v>363</v>
      </c>
      <c r="W11">
        <v>182</v>
      </c>
      <c r="X11">
        <v>0</v>
      </c>
      <c r="Y11" s="5" t="s">
        <v>364</v>
      </c>
      <c r="Z11" t="s">
        <v>43</v>
      </c>
    </row>
    <row r="12" spans="1:26" x14ac:dyDescent="0.55000000000000004">
      <c r="A12" t="s">
        <v>233</v>
      </c>
      <c r="B12" t="str">
        <f t="shared" si="0"/>
        <v>2024_09_09</v>
      </c>
      <c r="C12" t="s">
        <v>220</v>
      </c>
      <c r="D12" s="3" t="s">
        <v>41</v>
      </c>
      <c r="F12" t="s">
        <v>25</v>
      </c>
      <c r="G12" t="s">
        <v>26</v>
      </c>
      <c r="H12" t="s">
        <v>33</v>
      </c>
      <c r="I12" t="s">
        <v>28</v>
      </c>
      <c r="J12" t="s">
        <v>29</v>
      </c>
      <c r="K12" t="s">
        <v>195</v>
      </c>
      <c r="L12" t="s">
        <v>368</v>
      </c>
      <c r="M12" t="s">
        <v>29</v>
      </c>
      <c r="N12" t="s">
        <v>30</v>
      </c>
      <c r="O12">
        <v>24</v>
      </c>
      <c r="P12">
        <v>30</v>
      </c>
      <c r="Q12">
        <v>22</v>
      </c>
      <c r="R12" t="s">
        <v>177</v>
      </c>
      <c r="S12" t="s">
        <v>46</v>
      </c>
      <c r="T12" s="2" t="s">
        <v>61</v>
      </c>
      <c r="U12" t="str">
        <f t="shared" si="1"/>
        <v>C:\Users\jordant\PycharmProjects\LCMS_RiPP\output_data_flasks\TJ-C-560_TJ-C-597_unique_sample_11</v>
      </c>
      <c r="V12" s="5" t="s">
        <v>363</v>
      </c>
      <c r="W12">
        <v>182</v>
      </c>
      <c r="X12">
        <v>0</v>
      </c>
      <c r="Y12" s="5" t="s">
        <v>364</v>
      </c>
      <c r="Z12" t="s">
        <v>43</v>
      </c>
    </row>
    <row r="13" spans="1:26" x14ac:dyDescent="0.55000000000000004">
      <c r="A13" t="s">
        <v>234</v>
      </c>
      <c r="B13" t="str">
        <f t="shared" si="0"/>
        <v>2024_08_29</v>
      </c>
      <c r="C13" t="s">
        <v>220</v>
      </c>
      <c r="D13" s="3" t="s">
        <v>41</v>
      </c>
      <c r="F13" t="s">
        <v>25</v>
      </c>
      <c r="G13" t="s">
        <v>26</v>
      </c>
      <c r="H13" t="s">
        <v>33</v>
      </c>
      <c r="I13" t="s">
        <v>28</v>
      </c>
      <c r="J13" t="s">
        <v>29</v>
      </c>
      <c r="K13" t="s">
        <v>196</v>
      </c>
      <c r="L13" t="s">
        <v>367</v>
      </c>
      <c r="M13" t="s">
        <v>29</v>
      </c>
      <c r="N13" t="s">
        <v>30</v>
      </c>
      <c r="O13">
        <v>24</v>
      </c>
      <c r="P13">
        <v>30</v>
      </c>
      <c r="Q13">
        <v>22</v>
      </c>
      <c r="R13" t="s">
        <v>177</v>
      </c>
      <c r="S13" t="s">
        <v>46</v>
      </c>
      <c r="T13" s="2" t="s">
        <v>51</v>
      </c>
      <c r="U13" t="str">
        <f t="shared" si="1"/>
        <v>C:\Users\jordant\PycharmProjects\LCMS_RiPP\output_data_flasks\TJ-C-560_TJ-C-598_unique_sample_12</v>
      </c>
      <c r="V13" s="5" t="s">
        <v>365</v>
      </c>
      <c r="W13">
        <v>182</v>
      </c>
      <c r="X13">
        <v>0</v>
      </c>
      <c r="Y13" s="5" t="s">
        <v>366</v>
      </c>
      <c r="Z13" t="s">
        <v>43</v>
      </c>
    </row>
    <row r="14" spans="1:26" x14ac:dyDescent="0.55000000000000004">
      <c r="A14" t="s">
        <v>235</v>
      </c>
      <c r="B14" t="str">
        <f t="shared" si="0"/>
        <v>2024_09_09</v>
      </c>
      <c r="C14" t="s">
        <v>220</v>
      </c>
      <c r="D14" s="3" t="s">
        <v>41</v>
      </c>
      <c r="F14" t="s">
        <v>25</v>
      </c>
      <c r="G14" t="s">
        <v>26</v>
      </c>
      <c r="H14" t="s">
        <v>33</v>
      </c>
      <c r="I14" t="s">
        <v>28</v>
      </c>
      <c r="J14" t="s">
        <v>29</v>
      </c>
      <c r="K14" t="s">
        <v>196</v>
      </c>
      <c r="L14" t="s">
        <v>367</v>
      </c>
      <c r="M14" t="s">
        <v>29</v>
      </c>
      <c r="N14" t="s">
        <v>30</v>
      </c>
      <c r="O14">
        <v>24</v>
      </c>
      <c r="P14">
        <v>30</v>
      </c>
      <c r="Q14">
        <v>22</v>
      </c>
      <c r="R14" t="s">
        <v>177</v>
      </c>
      <c r="S14" t="s">
        <v>46</v>
      </c>
      <c r="T14" s="2" t="s">
        <v>62</v>
      </c>
      <c r="U14" t="str">
        <f t="shared" si="1"/>
        <v>C:\Users\jordant\PycharmProjects\LCMS_RiPP\output_data_flasks\TJ-C-560_TJ-C-598_unique_sample_13</v>
      </c>
      <c r="V14" s="5" t="s">
        <v>365</v>
      </c>
      <c r="W14">
        <v>182</v>
      </c>
      <c r="X14">
        <v>0</v>
      </c>
      <c r="Y14" s="5" t="s">
        <v>366</v>
      </c>
      <c r="Z14" t="s">
        <v>43</v>
      </c>
    </row>
    <row r="15" spans="1:26" x14ac:dyDescent="0.55000000000000004">
      <c r="A15" t="s">
        <v>236</v>
      </c>
      <c r="B15" t="str">
        <f t="shared" si="0"/>
        <v>2024_08_29</v>
      </c>
      <c r="C15" t="s">
        <v>220</v>
      </c>
      <c r="D15" s="3" t="s">
        <v>41</v>
      </c>
      <c r="F15" t="s">
        <v>25</v>
      </c>
      <c r="G15" t="s">
        <v>26</v>
      </c>
      <c r="H15" t="s">
        <v>33</v>
      </c>
      <c r="I15" t="s">
        <v>28</v>
      </c>
      <c r="J15" t="s">
        <v>29</v>
      </c>
      <c r="K15" t="s">
        <v>39</v>
      </c>
      <c r="L15" t="s">
        <v>373</v>
      </c>
      <c r="M15" t="s">
        <v>29</v>
      </c>
      <c r="N15" t="s">
        <v>30</v>
      </c>
      <c r="O15">
        <v>24</v>
      </c>
      <c r="P15">
        <v>30</v>
      </c>
      <c r="Q15">
        <v>22</v>
      </c>
      <c r="R15" t="s">
        <v>177</v>
      </c>
      <c r="S15" t="s">
        <v>46</v>
      </c>
      <c r="T15" s="2" t="s">
        <v>52</v>
      </c>
      <c r="U15" t="str">
        <f t="shared" si="1"/>
        <v>C:\Users\jordant\PycharmProjects\LCMS_RiPP\output_data_flasks\TJ-C-560_TJ-C-599_unique_sample_14</v>
      </c>
      <c r="V15" s="5" t="s">
        <v>374</v>
      </c>
      <c r="W15">
        <v>182</v>
      </c>
      <c r="X15">
        <v>0</v>
      </c>
      <c r="Y15" s="5" t="s">
        <v>375</v>
      </c>
      <c r="Z15" t="s">
        <v>43</v>
      </c>
    </row>
    <row r="16" spans="1:26" x14ac:dyDescent="0.55000000000000004">
      <c r="A16" t="s">
        <v>237</v>
      </c>
      <c r="B16" t="str">
        <f t="shared" si="0"/>
        <v>2024_09_09</v>
      </c>
      <c r="C16" t="s">
        <v>220</v>
      </c>
      <c r="D16" s="3" t="s">
        <v>41</v>
      </c>
      <c r="F16" t="s">
        <v>25</v>
      </c>
      <c r="G16" t="s">
        <v>26</v>
      </c>
      <c r="H16" t="s">
        <v>33</v>
      </c>
      <c r="I16" t="s">
        <v>28</v>
      </c>
      <c r="J16" t="s">
        <v>29</v>
      </c>
      <c r="K16" t="s">
        <v>39</v>
      </c>
      <c r="L16" t="s">
        <v>373</v>
      </c>
      <c r="M16" t="s">
        <v>29</v>
      </c>
      <c r="N16" t="s">
        <v>30</v>
      </c>
      <c r="O16">
        <v>24</v>
      </c>
      <c r="P16">
        <v>30</v>
      </c>
      <c r="Q16">
        <v>22</v>
      </c>
      <c r="R16" t="s">
        <v>177</v>
      </c>
      <c r="S16" t="s">
        <v>46</v>
      </c>
      <c r="T16" s="2" t="s">
        <v>63</v>
      </c>
      <c r="U16" t="str">
        <f t="shared" si="1"/>
        <v>C:\Users\jordant\PycharmProjects\LCMS_RiPP\output_data_flasks\TJ-C-560_TJ-C-599_unique_sample_15</v>
      </c>
      <c r="V16" s="5" t="s">
        <v>374</v>
      </c>
      <c r="W16">
        <v>182</v>
      </c>
      <c r="X16">
        <v>0</v>
      </c>
      <c r="Y16" s="5" t="s">
        <v>375</v>
      </c>
      <c r="Z16" t="s">
        <v>43</v>
      </c>
    </row>
    <row r="17" spans="1:26" x14ac:dyDescent="0.55000000000000004">
      <c r="A17" t="s">
        <v>238</v>
      </c>
      <c r="B17" t="str">
        <f t="shared" si="0"/>
        <v>2024_09_09</v>
      </c>
      <c r="C17" t="s">
        <v>221</v>
      </c>
      <c r="D17" s="3" t="s">
        <v>41</v>
      </c>
      <c r="F17" t="s">
        <v>25</v>
      </c>
      <c r="G17" t="s">
        <v>26</v>
      </c>
      <c r="H17" t="s">
        <v>33</v>
      </c>
      <c r="I17" t="s">
        <v>28</v>
      </c>
      <c r="J17" t="s">
        <v>29</v>
      </c>
      <c r="K17" t="s">
        <v>197</v>
      </c>
      <c r="L17" t="s">
        <v>376</v>
      </c>
      <c r="M17" t="s">
        <v>29</v>
      </c>
      <c r="N17" t="s">
        <v>30</v>
      </c>
      <c r="O17">
        <v>24</v>
      </c>
      <c r="P17">
        <v>30</v>
      </c>
      <c r="Q17">
        <v>22</v>
      </c>
      <c r="R17" t="s">
        <v>44</v>
      </c>
      <c r="S17" t="s">
        <v>46</v>
      </c>
      <c r="T17" s="2" t="s">
        <v>53</v>
      </c>
      <c r="U17" t="str">
        <f t="shared" si="1"/>
        <v>C:\Users\jordant\PycharmProjects\LCMS_RiPP\output_data_flasks\TJ-C-560_TJ-C-590_unique_sample_16</v>
      </c>
      <c r="V17" s="5" t="s">
        <v>377</v>
      </c>
      <c r="W17">
        <v>189</v>
      </c>
      <c r="X17">
        <v>0</v>
      </c>
      <c r="Y17" s="5" t="s">
        <v>378</v>
      </c>
      <c r="Z17" t="s">
        <v>43</v>
      </c>
    </row>
    <row r="18" spans="1:26" x14ac:dyDescent="0.55000000000000004">
      <c r="A18" t="s">
        <v>239</v>
      </c>
      <c r="B18" t="str">
        <f t="shared" si="0"/>
        <v>2024_09_09</v>
      </c>
      <c r="C18" t="s">
        <v>221</v>
      </c>
      <c r="D18" s="3" t="s">
        <v>41</v>
      </c>
      <c r="F18" t="s">
        <v>25</v>
      </c>
      <c r="G18" t="s">
        <v>26</v>
      </c>
      <c r="H18" t="s">
        <v>33</v>
      </c>
      <c r="I18" t="s">
        <v>28</v>
      </c>
      <c r="J18" t="s">
        <v>29</v>
      </c>
      <c r="K18" t="s">
        <v>198</v>
      </c>
      <c r="L18" t="s">
        <v>379</v>
      </c>
      <c r="M18" t="s">
        <v>29</v>
      </c>
      <c r="N18" t="s">
        <v>30</v>
      </c>
      <c r="O18">
        <v>24</v>
      </c>
      <c r="P18">
        <v>30</v>
      </c>
      <c r="Q18">
        <v>22</v>
      </c>
      <c r="R18" t="s">
        <v>44</v>
      </c>
      <c r="S18" t="s">
        <v>46</v>
      </c>
      <c r="T18" s="2" t="s">
        <v>54</v>
      </c>
      <c r="U18" t="str">
        <f t="shared" si="1"/>
        <v>C:\Users\jordant\PycharmProjects\LCMS_RiPP\output_data_flasks\TJ-C-560_TJ-C-591_unique_sample_17</v>
      </c>
      <c r="V18" s="5" t="s">
        <v>380</v>
      </c>
      <c r="W18">
        <v>189</v>
      </c>
      <c r="X18">
        <v>0</v>
      </c>
      <c r="Y18" s="5" t="s">
        <v>381</v>
      </c>
      <c r="Z18" t="s">
        <v>45</v>
      </c>
    </row>
    <row r="19" spans="1:26" x14ac:dyDescent="0.55000000000000004">
      <c r="A19" t="s">
        <v>240</v>
      </c>
      <c r="B19" t="str">
        <f t="shared" si="0"/>
        <v>2024_09_09</v>
      </c>
      <c r="C19" t="s">
        <v>221</v>
      </c>
      <c r="D19" s="3" t="s">
        <v>41</v>
      </c>
      <c r="F19" t="s">
        <v>25</v>
      </c>
      <c r="G19" t="s">
        <v>26</v>
      </c>
      <c r="H19" t="s">
        <v>33</v>
      </c>
      <c r="I19" t="s">
        <v>28</v>
      </c>
      <c r="J19" t="s">
        <v>29</v>
      </c>
      <c r="K19" t="s">
        <v>199</v>
      </c>
      <c r="L19" t="s">
        <v>382</v>
      </c>
      <c r="M19" t="s">
        <v>29</v>
      </c>
      <c r="N19" t="s">
        <v>30</v>
      </c>
      <c r="O19">
        <v>24</v>
      </c>
      <c r="P19">
        <v>30</v>
      </c>
      <c r="Q19">
        <v>22</v>
      </c>
      <c r="R19" t="s">
        <v>44</v>
      </c>
      <c r="S19" t="s">
        <v>46</v>
      </c>
      <c r="T19" s="2" t="s">
        <v>55</v>
      </c>
      <c r="U19" t="str">
        <f t="shared" si="1"/>
        <v>C:\Users\jordant\PycharmProjects\LCMS_RiPP\output_data_flasks\TJ-C-560_TJ-C-592_unique_sample_18</v>
      </c>
      <c r="V19" s="5" t="s">
        <v>383</v>
      </c>
      <c r="W19">
        <v>189</v>
      </c>
      <c r="X19">
        <v>0</v>
      </c>
      <c r="Y19" s="5" t="s">
        <v>384</v>
      </c>
      <c r="Z19" t="s">
        <v>43</v>
      </c>
    </row>
    <row r="20" spans="1:26" x14ac:dyDescent="0.55000000000000004">
      <c r="A20" t="s">
        <v>241</v>
      </c>
      <c r="B20" t="str">
        <f t="shared" si="0"/>
        <v>2024_09_25</v>
      </c>
      <c r="C20" t="s">
        <v>221</v>
      </c>
      <c r="D20" s="3" t="s">
        <v>41</v>
      </c>
      <c r="F20" t="s">
        <v>25</v>
      </c>
      <c r="G20" t="s">
        <v>26</v>
      </c>
      <c r="H20" t="s">
        <v>33</v>
      </c>
      <c r="I20" t="s">
        <v>28</v>
      </c>
      <c r="J20" t="s">
        <v>29</v>
      </c>
      <c r="K20" t="s">
        <v>200</v>
      </c>
      <c r="L20" t="s">
        <v>386</v>
      </c>
      <c r="M20" t="s">
        <v>29</v>
      </c>
      <c r="N20" t="s">
        <v>30</v>
      </c>
      <c r="O20">
        <v>24</v>
      </c>
      <c r="P20">
        <v>30</v>
      </c>
      <c r="Q20">
        <v>22</v>
      </c>
      <c r="R20" t="s">
        <v>44</v>
      </c>
      <c r="S20" t="s">
        <v>46</v>
      </c>
      <c r="T20" s="2" t="s">
        <v>65</v>
      </c>
      <c r="U20" t="str">
        <f t="shared" si="1"/>
        <v>C:\Users\jordant\PycharmProjects\LCMS_RiPP\output_data_flasks\TJ-C-560_TJ-C-585_unique_sample_19</v>
      </c>
      <c r="V20" s="5" t="s">
        <v>385</v>
      </c>
      <c r="W20">
        <v>189</v>
      </c>
      <c r="X20">
        <v>0</v>
      </c>
      <c r="Y20" s="5" t="s">
        <v>387</v>
      </c>
      <c r="Z20" t="s">
        <v>43</v>
      </c>
    </row>
    <row r="21" spans="1:26" x14ac:dyDescent="0.55000000000000004">
      <c r="A21" t="s">
        <v>242</v>
      </c>
      <c r="B21" t="str">
        <f t="shared" si="0"/>
        <v>2024_09_25</v>
      </c>
      <c r="C21" t="s">
        <v>221</v>
      </c>
      <c r="D21" s="3" t="s">
        <v>41</v>
      </c>
      <c r="F21" t="s">
        <v>25</v>
      </c>
      <c r="G21" t="s">
        <v>26</v>
      </c>
      <c r="H21" t="s">
        <v>33</v>
      </c>
      <c r="I21" t="s">
        <v>28</v>
      </c>
      <c r="J21" t="s">
        <v>29</v>
      </c>
      <c r="K21" t="s">
        <v>200</v>
      </c>
      <c r="L21" t="s">
        <v>386</v>
      </c>
      <c r="M21" t="s">
        <v>29</v>
      </c>
      <c r="N21" t="s">
        <v>30</v>
      </c>
      <c r="O21">
        <v>24</v>
      </c>
      <c r="P21">
        <v>30</v>
      </c>
      <c r="Q21">
        <v>22</v>
      </c>
      <c r="R21" t="s">
        <v>177</v>
      </c>
      <c r="S21" t="s">
        <v>46</v>
      </c>
      <c r="T21" s="2" t="s">
        <v>66</v>
      </c>
      <c r="U21" t="str">
        <f t="shared" si="1"/>
        <v>C:\Users\jordant\PycharmProjects\LCMS_RiPP\output_data_flasks\TJ-C-560_TJ-C-585_unique_sample_20</v>
      </c>
      <c r="V21" s="5" t="s">
        <v>385</v>
      </c>
      <c r="W21">
        <v>189</v>
      </c>
      <c r="X21">
        <v>0</v>
      </c>
      <c r="Y21" s="5" t="s">
        <v>387</v>
      </c>
      <c r="Z21" t="s">
        <v>43</v>
      </c>
    </row>
    <row r="22" spans="1:26" x14ac:dyDescent="0.55000000000000004">
      <c r="A22" t="s">
        <v>243</v>
      </c>
      <c r="B22" t="str">
        <f t="shared" si="0"/>
        <v>2024_09_25</v>
      </c>
      <c r="C22" t="s">
        <v>221</v>
      </c>
      <c r="D22" s="3" t="s">
        <v>41</v>
      </c>
      <c r="F22" t="s">
        <v>25</v>
      </c>
      <c r="G22" t="s">
        <v>26</v>
      </c>
      <c r="H22" t="s">
        <v>33</v>
      </c>
      <c r="I22" t="s">
        <v>28</v>
      </c>
      <c r="J22" t="s">
        <v>29</v>
      </c>
      <c r="K22" t="s">
        <v>201</v>
      </c>
      <c r="L22" t="s">
        <v>388</v>
      </c>
      <c r="M22" t="s">
        <v>29</v>
      </c>
      <c r="N22" t="s">
        <v>30</v>
      </c>
      <c r="O22">
        <v>24</v>
      </c>
      <c r="P22">
        <v>30</v>
      </c>
      <c r="Q22">
        <v>22</v>
      </c>
      <c r="R22" t="s">
        <v>44</v>
      </c>
      <c r="S22" t="s">
        <v>46</v>
      </c>
      <c r="T22" s="2" t="s">
        <v>67</v>
      </c>
      <c r="U22" t="str">
        <f t="shared" si="1"/>
        <v>C:\Users\jordant\PycharmProjects\LCMS_RiPP\output_data_flasks\TJ-C-560_TJ-C-586_unique_sample_21</v>
      </c>
      <c r="V22" s="5" t="s">
        <v>389</v>
      </c>
      <c r="W22">
        <v>189</v>
      </c>
      <c r="X22">
        <v>0</v>
      </c>
      <c r="Y22" s="5" t="s">
        <v>390</v>
      </c>
      <c r="Z22" t="s">
        <v>43</v>
      </c>
    </row>
    <row r="23" spans="1:26" x14ac:dyDescent="0.55000000000000004">
      <c r="A23" t="s">
        <v>244</v>
      </c>
      <c r="B23" t="str">
        <f t="shared" si="0"/>
        <v>2024_09_25</v>
      </c>
      <c r="C23" t="s">
        <v>221</v>
      </c>
      <c r="D23" s="3" t="s">
        <v>41</v>
      </c>
      <c r="F23" t="s">
        <v>25</v>
      </c>
      <c r="G23" t="s">
        <v>26</v>
      </c>
      <c r="H23" t="s">
        <v>33</v>
      </c>
      <c r="I23" t="s">
        <v>28</v>
      </c>
      <c r="J23" t="s">
        <v>29</v>
      </c>
      <c r="K23" t="s">
        <v>201</v>
      </c>
      <c r="L23" t="s">
        <v>388</v>
      </c>
      <c r="M23" t="s">
        <v>29</v>
      </c>
      <c r="N23" t="s">
        <v>30</v>
      </c>
      <c r="O23">
        <v>24</v>
      </c>
      <c r="P23">
        <v>30</v>
      </c>
      <c r="Q23">
        <v>22</v>
      </c>
      <c r="R23" t="s">
        <v>177</v>
      </c>
      <c r="S23" t="s">
        <v>46</v>
      </c>
      <c r="T23" s="2" t="s">
        <v>68</v>
      </c>
      <c r="U23" t="str">
        <f t="shared" si="1"/>
        <v>C:\Users\jordant\PycharmProjects\LCMS_RiPP\output_data_flasks\TJ-C-560_TJ-C-586_unique_sample_22</v>
      </c>
      <c r="V23" s="5" t="s">
        <v>389</v>
      </c>
      <c r="W23">
        <v>189</v>
      </c>
      <c r="X23">
        <v>0</v>
      </c>
      <c r="Y23" s="5" t="s">
        <v>390</v>
      </c>
      <c r="Z23" t="s">
        <v>43</v>
      </c>
    </row>
    <row r="24" spans="1:26" x14ac:dyDescent="0.55000000000000004">
      <c r="A24" t="s">
        <v>245</v>
      </c>
      <c r="B24" t="str">
        <f t="shared" si="0"/>
        <v>2024_09_25</v>
      </c>
      <c r="C24" t="s">
        <v>221</v>
      </c>
      <c r="D24" s="3" t="s">
        <v>41</v>
      </c>
      <c r="F24" t="s">
        <v>25</v>
      </c>
      <c r="G24" t="s">
        <v>26</v>
      </c>
      <c r="H24" t="s">
        <v>33</v>
      </c>
      <c r="I24" t="s">
        <v>28</v>
      </c>
      <c r="J24" t="s">
        <v>29</v>
      </c>
      <c r="K24" t="s">
        <v>202</v>
      </c>
      <c r="L24" t="s">
        <v>391</v>
      </c>
      <c r="M24" t="s">
        <v>29</v>
      </c>
      <c r="N24" t="s">
        <v>30</v>
      </c>
      <c r="O24">
        <v>24</v>
      </c>
      <c r="P24">
        <v>30</v>
      </c>
      <c r="Q24">
        <v>22</v>
      </c>
      <c r="R24" t="s">
        <v>44</v>
      </c>
      <c r="S24" t="s">
        <v>46</v>
      </c>
      <c r="T24" s="2" t="s">
        <v>69</v>
      </c>
      <c r="U24" t="str">
        <f t="shared" si="1"/>
        <v>C:\Users\jordant\PycharmProjects\LCMS_RiPP\output_data_flasks\TJ-C-560_TJ-C-587_unique_sample_23</v>
      </c>
      <c r="V24" s="5" t="s">
        <v>392</v>
      </c>
      <c r="W24">
        <v>189</v>
      </c>
      <c r="X24">
        <v>0</v>
      </c>
      <c r="Y24" s="5" t="s">
        <v>393</v>
      </c>
      <c r="Z24" t="s">
        <v>43</v>
      </c>
    </row>
    <row r="25" spans="1:26" x14ac:dyDescent="0.55000000000000004">
      <c r="A25" t="s">
        <v>246</v>
      </c>
      <c r="B25" t="str">
        <f t="shared" si="0"/>
        <v>2024_09_25</v>
      </c>
      <c r="C25" t="s">
        <v>221</v>
      </c>
      <c r="D25" s="3" t="s">
        <v>41</v>
      </c>
      <c r="F25" t="s">
        <v>25</v>
      </c>
      <c r="G25" t="s">
        <v>26</v>
      </c>
      <c r="H25" t="s">
        <v>33</v>
      </c>
      <c r="I25" t="s">
        <v>28</v>
      </c>
      <c r="J25" t="s">
        <v>29</v>
      </c>
      <c r="K25" t="s">
        <v>202</v>
      </c>
      <c r="L25" t="s">
        <v>391</v>
      </c>
      <c r="M25" t="s">
        <v>29</v>
      </c>
      <c r="N25" t="s">
        <v>30</v>
      </c>
      <c r="O25">
        <v>24</v>
      </c>
      <c r="P25">
        <v>30</v>
      </c>
      <c r="Q25">
        <v>22</v>
      </c>
      <c r="R25" t="s">
        <v>177</v>
      </c>
      <c r="S25" t="s">
        <v>46</v>
      </c>
      <c r="T25" s="2" t="s">
        <v>70</v>
      </c>
      <c r="U25" t="str">
        <f t="shared" si="1"/>
        <v>C:\Users\jordant\PycharmProjects\LCMS_RiPP\output_data_flasks\TJ-C-560_TJ-C-587_unique_sample_24</v>
      </c>
      <c r="V25" s="5" t="s">
        <v>392</v>
      </c>
      <c r="W25">
        <v>189</v>
      </c>
      <c r="X25">
        <v>0</v>
      </c>
      <c r="Y25" s="5" t="s">
        <v>393</v>
      </c>
      <c r="Z25" t="s">
        <v>43</v>
      </c>
    </row>
    <row r="26" spans="1:26" x14ac:dyDescent="0.55000000000000004">
      <c r="A26" t="s">
        <v>247</v>
      </c>
      <c r="B26" t="str">
        <f t="shared" si="0"/>
        <v>2024_09_25</v>
      </c>
      <c r="C26" t="s">
        <v>221</v>
      </c>
      <c r="D26" s="3" t="s">
        <v>41</v>
      </c>
      <c r="F26" t="s">
        <v>25</v>
      </c>
      <c r="G26" t="s">
        <v>26</v>
      </c>
      <c r="H26" t="s">
        <v>33</v>
      </c>
      <c r="I26" t="s">
        <v>28</v>
      </c>
      <c r="J26" t="s">
        <v>29</v>
      </c>
      <c r="K26" t="s">
        <v>203</v>
      </c>
      <c r="L26" t="s">
        <v>394</v>
      </c>
      <c r="M26" t="s">
        <v>29</v>
      </c>
      <c r="N26" t="s">
        <v>30</v>
      </c>
      <c r="O26">
        <v>24</v>
      </c>
      <c r="P26">
        <v>30</v>
      </c>
      <c r="Q26">
        <v>22</v>
      </c>
      <c r="R26" t="s">
        <v>44</v>
      </c>
      <c r="S26" t="s">
        <v>46</v>
      </c>
      <c r="T26" s="2" t="s">
        <v>71</v>
      </c>
      <c r="U26" t="str">
        <f t="shared" si="1"/>
        <v>C:\Users\jordant\PycharmProjects\LCMS_RiPP\output_data_flasks\TJ-C-560_TJ-C-588_unique_sample_25</v>
      </c>
      <c r="V26" s="5" t="s">
        <v>395</v>
      </c>
      <c r="W26">
        <v>189</v>
      </c>
      <c r="X26">
        <v>0</v>
      </c>
      <c r="Y26" s="5" t="s">
        <v>396</v>
      </c>
      <c r="Z26" t="s">
        <v>397</v>
      </c>
    </row>
    <row r="27" spans="1:26" x14ac:dyDescent="0.55000000000000004">
      <c r="A27" t="s">
        <v>248</v>
      </c>
      <c r="B27" t="str">
        <f t="shared" si="0"/>
        <v>2024_09_25</v>
      </c>
      <c r="C27" t="s">
        <v>221</v>
      </c>
      <c r="D27" s="3" t="s">
        <v>41</v>
      </c>
      <c r="F27" t="s">
        <v>25</v>
      </c>
      <c r="G27" t="s">
        <v>26</v>
      </c>
      <c r="H27" t="s">
        <v>33</v>
      </c>
      <c r="I27" t="s">
        <v>28</v>
      </c>
      <c r="J27" t="s">
        <v>29</v>
      </c>
      <c r="K27" t="s">
        <v>203</v>
      </c>
      <c r="L27" t="s">
        <v>394</v>
      </c>
      <c r="M27" t="s">
        <v>29</v>
      </c>
      <c r="N27" t="s">
        <v>30</v>
      </c>
      <c r="O27">
        <v>24</v>
      </c>
      <c r="P27">
        <v>30</v>
      </c>
      <c r="Q27">
        <v>22</v>
      </c>
      <c r="R27" t="s">
        <v>177</v>
      </c>
      <c r="S27" t="s">
        <v>46</v>
      </c>
      <c r="T27" s="2" t="s">
        <v>72</v>
      </c>
      <c r="U27" t="str">
        <f t="shared" si="1"/>
        <v>C:\Users\jordant\PycharmProjects\LCMS_RiPP\output_data_flasks\TJ-C-560_TJ-C-588_unique_sample_26</v>
      </c>
      <c r="V27" s="5" t="s">
        <v>395</v>
      </c>
      <c r="W27">
        <v>189</v>
      </c>
      <c r="X27">
        <v>0</v>
      </c>
      <c r="Y27" s="5" t="s">
        <v>396</v>
      </c>
      <c r="Z27" t="s">
        <v>397</v>
      </c>
    </row>
    <row r="28" spans="1:26" x14ac:dyDescent="0.55000000000000004">
      <c r="A28" t="s">
        <v>249</v>
      </c>
      <c r="B28" t="str">
        <f t="shared" si="0"/>
        <v>2024_09_25</v>
      </c>
      <c r="C28" t="s">
        <v>221</v>
      </c>
      <c r="D28" s="3" t="s">
        <v>41</v>
      </c>
      <c r="F28" t="s">
        <v>25</v>
      </c>
      <c r="G28" t="s">
        <v>26</v>
      </c>
      <c r="H28" t="s">
        <v>33</v>
      </c>
      <c r="I28" t="s">
        <v>28</v>
      </c>
      <c r="J28" t="s">
        <v>29</v>
      </c>
      <c r="K28" t="s">
        <v>204</v>
      </c>
      <c r="L28" t="s">
        <v>398</v>
      </c>
      <c r="M28" t="s">
        <v>29</v>
      </c>
      <c r="N28" t="s">
        <v>30</v>
      </c>
      <c r="O28">
        <v>24</v>
      </c>
      <c r="P28">
        <v>30</v>
      </c>
      <c r="Q28">
        <v>22</v>
      </c>
      <c r="R28" t="s">
        <v>44</v>
      </c>
      <c r="S28" t="s">
        <v>46</v>
      </c>
      <c r="T28" s="2" t="s">
        <v>73</v>
      </c>
      <c r="U28" t="str">
        <f t="shared" si="1"/>
        <v>C:\Users\jordant\PycharmProjects\LCMS_RiPP\output_data_flasks\TJ-C-560_TJ-C-589_unique_sample_27</v>
      </c>
      <c r="V28" s="5" t="s">
        <v>399</v>
      </c>
      <c r="W28">
        <v>189</v>
      </c>
      <c r="X28">
        <v>0</v>
      </c>
      <c r="Y28" s="5" t="s">
        <v>400</v>
      </c>
      <c r="Z28" t="s">
        <v>43</v>
      </c>
    </row>
    <row r="29" spans="1:26" x14ac:dyDescent="0.55000000000000004">
      <c r="A29" t="s">
        <v>250</v>
      </c>
      <c r="B29" t="str">
        <f t="shared" si="0"/>
        <v>2024_09_25</v>
      </c>
      <c r="C29" t="s">
        <v>221</v>
      </c>
      <c r="D29" s="3" t="s">
        <v>41</v>
      </c>
      <c r="F29" t="s">
        <v>25</v>
      </c>
      <c r="G29" t="s">
        <v>26</v>
      </c>
      <c r="H29" t="s">
        <v>33</v>
      </c>
      <c r="I29" t="s">
        <v>28</v>
      </c>
      <c r="J29" t="s">
        <v>29</v>
      </c>
      <c r="K29" t="s">
        <v>204</v>
      </c>
      <c r="L29" t="s">
        <v>398</v>
      </c>
      <c r="M29" t="s">
        <v>29</v>
      </c>
      <c r="N29" t="s">
        <v>30</v>
      </c>
      <c r="O29">
        <v>24</v>
      </c>
      <c r="P29">
        <v>30</v>
      </c>
      <c r="Q29">
        <v>22</v>
      </c>
      <c r="R29" t="s">
        <v>177</v>
      </c>
      <c r="S29" t="s">
        <v>46</v>
      </c>
      <c r="T29" s="2" t="s">
        <v>74</v>
      </c>
      <c r="U29" t="str">
        <f t="shared" si="1"/>
        <v>C:\Users\jordant\PycharmProjects\LCMS_RiPP\output_data_flasks\TJ-C-560_TJ-C-589_unique_sample_28</v>
      </c>
      <c r="V29" s="5" t="s">
        <v>399</v>
      </c>
      <c r="W29">
        <v>189</v>
      </c>
      <c r="X29">
        <v>0</v>
      </c>
      <c r="Y29" s="5" t="s">
        <v>400</v>
      </c>
      <c r="Z29" t="s">
        <v>43</v>
      </c>
    </row>
    <row r="30" spans="1:26" x14ac:dyDescent="0.55000000000000004">
      <c r="A30" t="s">
        <v>251</v>
      </c>
      <c r="B30" t="str">
        <f t="shared" si="0"/>
        <v>2024_09_25</v>
      </c>
      <c r="C30" t="s">
        <v>221</v>
      </c>
      <c r="D30" s="3" t="s">
        <v>41</v>
      </c>
      <c r="F30" t="s">
        <v>25</v>
      </c>
      <c r="G30" t="s">
        <v>26</v>
      </c>
      <c r="H30" t="s">
        <v>33</v>
      </c>
      <c r="I30" t="s">
        <v>28</v>
      </c>
      <c r="J30" t="s">
        <v>29</v>
      </c>
      <c r="K30" t="s">
        <v>197</v>
      </c>
      <c r="L30" t="s">
        <v>376</v>
      </c>
      <c r="M30" t="s">
        <v>29</v>
      </c>
      <c r="N30" t="s">
        <v>30</v>
      </c>
      <c r="O30">
        <v>24</v>
      </c>
      <c r="P30">
        <v>30</v>
      </c>
      <c r="Q30">
        <v>22</v>
      </c>
      <c r="R30" t="s">
        <v>44</v>
      </c>
      <c r="S30" t="s">
        <v>46</v>
      </c>
      <c r="T30" s="2" t="s">
        <v>75</v>
      </c>
      <c r="U30" t="str">
        <f t="shared" si="1"/>
        <v>C:\Users\jordant\PycharmProjects\LCMS_RiPP\output_data_flasks\TJ-C-560_TJ-C-590_unique_sample_29</v>
      </c>
      <c r="V30" s="5" t="s">
        <v>377</v>
      </c>
      <c r="W30">
        <v>189</v>
      </c>
      <c r="X30">
        <v>0</v>
      </c>
      <c r="Y30" s="5" t="s">
        <v>378</v>
      </c>
      <c r="Z30" t="s">
        <v>43</v>
      </c>
    </row>
    <row r="31" spans="1:26" x14ac:dyDescent="0.55000000000000004">
      <c r="A31" t="s">
        <v>252</v>
      </c>
      <c r="B31" t="str">
        <f t="shared" si="0"/>
        <v>2024_09_25</v>
      </c>
      <c r="C31" t="s">
        <v>221</v>
      </c>
      <c r="D31" s="3" t="s">
        <v>41</v>
      </c>
      <c r="F31" t="s">
        <v>25</v>
      </c>
      <c r="G31" t="s">
        <v>26</v>
      </c>
      <c r="H31" t="s">
        <v>33</v>
      </c>
      <c r="I31" t="s">
        <v>28</v>
      </c>
      <c r="J31" t="s">
        <v>29</v>
      </c>
      <c r="K31" t="s">
        <v>197</v>
      </c>
      <c r="L31" t="s">
        <v>376</v>
      </c>
      <c r="M31" t="s">
        <v>29</v>
      </c>
      <c r="N31" t="s">
        <v>30</v>
      </c>
      <c r="O31">
        <v>24</v>
      </c>
      <c r="P31">
        <v>30</v>
      </c>
      <c r="Q31">
        <v>22</v>
      </c>
      <c r="R31" t="s">
        <v>177</v>
      </c>
      <c r="S31" t="s">
        <v>46</v>
      </c>
      <c r="T31" s="2" t="s">
        <v>76</v>
      </c>
      <c r="U31" t="str">
        <f t="shared" si="1"/>
        <v>C:\Users\jordant\PycharmProjects\LCMS_RiPP\output_data_flasks\TJ-C-560_TJ-C-590_unique_sample_30</v>
      </c>
      <c r="V31" s="5" t="s">
        <v>377</v>
      </c>
      <c r="W31">
        <v>189</v>
      </c>
      <c r="X31">
        <v>0</v>
      </c>
      <c r="Y31" s="5" t="s">
        <v>378</v>
      </c>
      <c r="Z31" t="s">
        <v>43</v>
      </c>
    </row>
    <row r="32" spans="1:26" x14ac:dyDescent="0.55000000000000004">
      <c r="A32" t="s">
        <v>253</v>
      </c>
      <c r="B32" t="str">
        <f t="shared" si="0"/>
        <v>2024_09_25</v>
      </c>
      <c r="C32" t="s">
        <v>221</v>
      </c>
      <c r="D32" s="3" t="s">
        <v>41</v>
      </c>
      <c r="F32" t="s">
        <v>25</v>
      </c>
      <c r="G32" t="s">
        <v>26</v>
      </c>
      <c r="H32" t="s">
        <v>33</v>
      </c>
      <c r="I32" t="s">
        <v>28</v>
      </c>
      <c r="J32" t="s">
        <v>29</v>
      </c>
      <c r="K32" t="s">
        <v>198</v>
      </c>
      <c r="L32" t="s">
        <v>379</v>
      </c>
      <c r="M32" t="s">
        <v>29</v>
      </c>
      <c r="N32" t="s">
        <v>30</v>
      </c>
      <c r="O32">
        <v>24</v>
      </c>
      <c r="P32">
        <v>30</v>
      </c>
      <c r="Q32">
        <v>22</v>
      </c>
      <c r="R32" t="s">
        <v>44</v>
      </c>
      <c r="S32" t="s">
        <v>46</v>
      </c>
      <c r="T32" s="2" t="s">
        <v>77</v>
      </c>
      <c r="U32" t="str">
        <f t="shared" si="1"/>
        <v>C:\Users\jordant\PycharmProjects\LCMS_RiPP\output_data_flasks\TJ-C-560_TJ-C-591_unique_sample_31</v>
      </c>
      <c r="V32" s="5" t="s">
        <v>380</v>
      </c>
      <c r="W32">
        <v>189</v>
      </c>
      <c r="X32">
        <v>0</v>
      </c>
      <c r="Y32" s="5" t="s">
        <v>381</v>
      </c>
      <c r="Z32" t="s">
        <v>43</v>
      </c>
    </row>
    <row r="33" spans="1:26" x14ac:dyDescent="0.55000000000000004">
      <c r="A33" t="s">
        <v>254</v>
      </c>
      <c r="B33" t="str">
        <f t="shared" si="0"/>
        <v>2024_09_25</v>
      </c>
      <c r="C33" t="s">
        <v>221</v>
      </c>
      <c r="D33" s="3" t="s">
        <v>41</v>
      </c>
      <c r="F33" t="s">
        <v>25</v>
      </c>
      <c r="G33" t="s">
        <v>26</v>
      </c>
      <c r="H33" t="s">
        <v>33</v>
      </c>
      <c r="I33" t="s">
        <v>28</v>
      </c>
      <c r="J33" t="s">
        <v>29</v>
      </c>
      <c r="K33" t="s">
        <v>198</v>
      </c>
      <c r="L33" t="s">
        <v>379</v>
      </c>
      <c r="M33" t="s">
        <v>29</v>
      </c>
      <c r="N33" t="s">
        <v>30</v>
      </c>
      <c r="O33">
        <v>24</v>
      </c>
      <c r="P33">
        <v>30</v>
      </c>
      <c r="Q33">
        <v>22</v>
      </c>
      <c r="R33" t="s">
        <v>177</v>
      </c>
      <c r="S33" t="s">
        <v>46</v>
      </c>
      <c r="T33" s="2" t="s">
        <v>78</v>
      </c>
      <c r="U33" t="str">
        <f t="shared" si="1"/>
        <v>C:\Users\jordant\PycharmProjects\LCMS_RiPP\output_data_flasks\TJ-C-560_TJ-C-591_unique_sample_32</v>
      </c>
      <c r="V33" s="5" t="s">
        <v>380</v>
      </c>
      <c r="W33">
        <v>189</v>
      </c>
      <c r="X33">
        <v>0</v>
      </c>
      <c r="Y33" s="5" t="s">
        <v>381</v>
      </c>
      <c r="Z33" t="s">
        <v>43</v>
      </c>
    </row>
    <row r="34" spans="1:26" x14ac:dyDescent="0.55000000000000004">
      <c r="A34" t="s">
        <v>255</v>
      </c>
      <c r="B34" t="str">
        <f t="shared" si="0"/>
        <v>2024_09_25</v>
      </c>
      <c r="C34" t="s">
        <v>221</v>
      </c>
      <c r="D34" s="3" t="s">
        <v>41</v>
      </c>
      <c r="F34" t="s">
        <v>25</v>
      </c>
      <c r="G34" t="s">
        <v>26</v>
      </c>
      <c r="H34" t="s">
        <v>33</v>
      </c>
      <c r="I34" t="s">
        <v>28</v>
      </c>
      <c r="J34" t="s">
        <v>29</v>
      </c>
      <c r="K34" t="s">
        <v>199</v>
      </c>
      <c r="L34" t="s">
        <v>382</v>
      </c>
      <c r="M34" t="s">
        <v>29</v>
      </c>
      <c r="N34" t="s">
        <v>30</v>
      </c>
      <c r="O34">
        <v>24</v>
      </c>
      <c r="P34">
        <v>30</v>
      </c>
      <c r="Q34">
        <v>22</v>
      </c>
      <c r="R34" t="s">
        <v>44</v>
      </c>
      <c r="S34" t="s">
        <v>46</v>
      </c>
      <c r="T34" s="2" t="s">
        <v>79</v>
      </c>
      <c r="U34" t="str">
        <f t="shared" si="1"/>
        <v>C:\Users\jordant\PycharmProjects\LCMS_RiPP\output_data_flasks\TJ-C-560_TJ-C-592_unique_sample_33</v>
      </c>
      <c r="V34" s="5" t="s">
        <v>383</v>
      </c>
      <c r="W34">
        <v>189</v>
      </c>
      <c r="X34">
        <v>0</v>
      </c>
      <c r="Y34" s="5" t="s">
        <v>384</v>
      </c>
      <c r="Z34" t="s">
        <v>43</v>
      </c>
    </row>
    <row r="35" spans="1:26" x14ac:dyDescent="0.55000000000000004">
      <c r="A35" t="s">
        <v>256</v>
      </c>
      <c r="B35" t="str">
        <f t="shared" si="0"/>
        <v>2024_09_25</v>
      </c>
      <c r="C35" t="s">
        <v>221</v>
      </c>
      <c r="D35" s="3" t="s">
        <v>41</v>
      </c>
      <c r="F35" t="s">
        <v>25</v>
      </c>
      <c r="G35" t="s">
        <v>26</v>
      </c>
      <c r="H35" t="s">
        <v>33</v>
      </c>
      <c r="I35" t="s">
        <v>28</v>
      </c>
      <c r="J35" t="s">
        <v>29</v>
      </c>
      <c r="K35" t="s">
        <v>199</v>
      </c>
      <c r="L35" t="s">
        <v>382</v>
      </c>
      <c r="M35" t="s">
        <v>29</v>
      </c>
      <c r="N35" t="s">
        <v>30</v>
      </c>
      <c r="O35">
        <v>24</v>
      </c>
      <c r="P35">
        <v>30</v>
      </c>
      <c r="Q35">
        <v>22</v>
      </c>
      <c r="R35" t="s">
        <v>177</v>
      </c>
      <c r="S35" t="s">
        <v>46</v>
      </c>
      <c r="T35" s="2" t="s">
        <v>80</v>
      </c>
      <c r="U35" t="str">
        <f t="shared" si="1"/>
        <v>C:\Users\jordant\PycharmProjects\LCMS_RiPP\output_data_flasks\TJ-C-560_TJ-C-592_unique_sample_34</v>
      </c>
      <c r="V35" s="5" t="s">
        <v>383</v>
      </c>
      <c r="W35">
        <v>189</v>
      </c>
      <c r="X35">
        <v>0</v>
      </c>
      <c r="Y35" s="5" t="s">
        <v>384</v>
      </c>
      <c r="Z35" t="s">
        <v>43</v>
      </c>
    </row>
    <row r="36" spans="1:26" x14ac:dyDescent="0.55000000000000004">
      <c r="A36" t="s">
        <v>257</v>
      </c>
      <c r="B36" t="str">
        <f t="shared" si="0"/>
        <v>2024_09_25</v>
      </c>
      <c r="C36" t="s">
        <v>221</v>
      </c>
      <c r="D36" s="3" t="s">
        <v>41</v>
      </c>
      <c r="F36" t="s">
        <v>25</v>
      </c>
      <c r="G36" t="s">
        <v>26</v>
      </c>
      <c r="H36" t="s">
        <v>33</v>
      </c>
      <c r="I36" t="s">
        <v>28</v>
      </c>
      <c r="J36" t="s">
        <v>29</v>
      </c>
      <c r="K36" t="s">
        <v>192</v>
      </c>
      <c r="L36" t="s">
        <v>371</v>
      </c>
      <c r="M36" t="s">
        <v>29</v>
      </c>
      <c r="N36" t="s">
        <v>30</v>
      </c>
      <c r="O36">
        <v>24</v>
      </c>
      <c r="P36">
        <v>30</v>
      </c>
      <c r="Q36">
        <v>22</v>
      </c>
      <c r="R36" t="s">
        <v>177</v>
      </c>
      <c r="S36" t="s">
        <v>46</v>
      </c>
      <c r="T36" s="2" t="s">
        <v>81</v>
      </c>
      <c r="U36" t="str">
        <f t="shared" si="1"/>
        <v>C:\Users\jordant\PycharmProjects\LCMS_RiPP\output_data_flasks\TJ-C-560_TJ-C-594_unique_sample_35</v>
      </c>
      <c r="V36" s="5" t="s">
        <v>355</v>
      </c>
      <c r="W36">
        <v>185</v>
      </c>
      <c r="X36">
        <v>0</v>
      </c>
      <c r="Y36" s="5" t="s">
        <v>356</v>
      </c>
      <c r="Z36" t="s">
        <v>43</v>
      </c>
    </row>
    <row r="37" spans="1:26" x14ac:dyDescent="0.55000000000000004">
      <c r="A37" t="s">
        <v>258</v>
      </c>
      <c r="B37" t="str">
        <f t="shared" si="0"/>
        <v>2024_09_25</v>
      </c>
      <c r="C37" t="s">
        <v>221</v>
      </c>
      <c r="D37" s="3" t="s">
        <v>41</v>
      </c>
      <c r="F37" t="s">
        <v>25</v>
      </c>
      <c r="G37" t="s">
        <v>26</v>
      </c>
      <c r="H37" t="s">
        <v>33</v>
      </c>
      <c r="I37" t="s">
        <v>28</v>
      </c>
      <c r="J37" t="s">
        <v>29</v>
      </c>
      <c r="K37" t="s">
        <v>193</v>
      </c>
      <c r="L37" t="s">
        <v>370</v>
      </c>
      <c r="M37" t="s">
        <v>29</v>
      </c>
      <c r="N37" t="s">
        <v>30</v>
      </c>
      <c r="O37">
        <v>24</v>
      </c>
      <c r="P37">
        <v>30</v>
      </c>
      <c r="Q37">
        <v>22</v>
      </c>
      <c r="R37" t="s">
        <v>177</v>
      </c>
      <c r="S37" t="s">
        <v>46</v>
      </c>
      <c r="T37" s="2" t="s">
        <v>82</v>
      </c>
      <c r="U37" t="str">
        <f t="shared" si="1"/>
        <v>C:\Users\jordant\PycharmProjects\LCMS_RiPP\output_data_flasks\TJ-C-560_TJ-C-595_unique_sample_36</v>
      </c>
      <c r="V37" s="5" t="s">
        <v>357</v>
      </c>
      <c r="W37">
        <v>183</v>
      </c>
      <c r="X37">
        <v>0</v>
      </c>
      <c r="Y37" s="5" t="s">
        <v>358</v>
      </c>
      <c r="Z37" t="s">
        <v>362</v>
      </c>
    </row>
    <row r="38" spans="1:26" x14ac:dyDescent="0.55000000000000004">
      <c r="A38" t="s">
        <v>259</v>
      </c>
      <c r="B38" t="str">
        <f t="shared" si="0"/>
        <v>2024_09_25</v>
      </c>
      <c r="C38" t="s">
        <v>221</v>
      </c>
      <c r="D38" s="3" t="s">
        <v>41</v>
      </c>
      <c r="F38" t="s">
        <v>25</v>
      </c>
      <c r="G38" t="s">
        <v>26</v>
      </c>
      <c r="H38" t="s">
        <v>33</v>
      </c>
      <c r="I38" t="s">
        <v>28</v>
      </c>
      <c r="J38" t="s">
        <v>29</v>
      </c>
      <c r="K38" t="s">
        <v>194</v>
      </c>
      <c r="L38" t="s">
        <v>369</v>
      </c>
      <c r="M38" t="s">
        <v>29</v>
      </c>
      <c r="N38" t="s">
        <v>30</v>
      </c>
      <c r="O38">
        <v>24</v>
      </c>
      <c r="P38">
        <v>30</v>
      </c>
      <c r="Q38">
        <v>22</v>
      </c>
      <c r="R38" t="s">
        <v>177</v>
      </c>
      <c r="S38" t="s">
        <v>46</v>
      </c>
      <c r="T38" s="2" t="s">
        <v>83</v>
      </c>
      <c r="U38" t="str">
        <f t="shared" si="1"/>
        <v>C:\Users\jordant\PycharmProjects\LCMS_RiPP\output_data_flasks\TJ-C-560_TJ-C-596_unique_sample_37</v>
      </c>
      <c r="V38" s="5" t="s">
        <v>359</v>
      </c>
      <c r="W38">
        <v>182</v>
      </c>
      <c r="X38">
        <v>0</v>
      </c>
      <c r="Y38" s="5" t="s">
        <v>360</v>
      </c>
      <c r="Z38" t="s">
        <v>361</v>
      </c>
    </row>
    <row r="39" spans="1:26" x14ac:dyDescent="0.55000000000000004">
      <c r="A39" t="s">
        <v>260</v>
      </c>
      <c r="B39" t="str">
        <f t="shared" si="0"/>
        <v>2024_09_25</v>
      </c>
      <c r="C39" t="s">
        <v>221</v>
      </c>
      <c r="D39" s="3" t="s">
        <v>41</v>
      </c>
      <c r="F39" t="s">
        <v>25</v>
      </c>
      <c r="G39" t="s">
        <v>26</v>
      </c>
      <c r="H39" t="s">
        <v>33</v>
      </c>
      <c r="I39" t="s">
        <v>28</v>
      </c>
      <c r="J39" t="s">
        <v>29</v>
      </c>
      <c r="K39" t="s">
        <v>195</v>
      </c>
      <c r="L39" t="s">
        <v>368</v>
      </c>
      <c r="M39" t="s">
        <v>29</v>
      </c>
      <c r="N39" t="s">
        <v>30</v>
      </c>
      <c r="O39">
        <v>24</v>
      </c>
      <c r="P39">
        <v>30</v>
      </c>
      <c r="Q39">
        <v>22</v>
      </c>
      <c r="R39" t="s">
        <v>177</v>
      </c>
      <c r="S39" t="s">
        <v>46</v>
      </c>
      <c r="T39" s="2" t="s">
        <v>84</v>
      </c>
      <c r="U39" t="str">
        <f t="shared" si="1"/>
        <v>C:\Users\jordant\PycharmProjects\LCMS_RiPP\output_data_flasks\TJ-C-560_TJ-C-597_unique_sample_38</v>
      </c>
      <c r="V39" s="5" t="s">
        <v>363</v>
      </c>
      <c r="W39">
        <v>182</v>
      </c>
      <c r="X39">
        <v>0</v>
      </c>
      <c r="Y39" s="5" t="s">
        <v>364</v>
      </c>
      <c r="Z39" t="s">
        <v>43</v>
      </c>
    </row>
    <row r="40" spans="1:26" x14ac:dyDescent="0.55000000000000004">
      <c r="A40" t="s">
        <v>261</v>
      </c>
      <c r="B40" t="str">
        <f t="shared" si="0"/>
        <v>2024_09_25</v>
      </c>
      <c r="C40" t="s">
        <v>221</v>
      </c>
      <c r="D40" s="3" t="s">
        <v>41</v>
      </c>
      <c r="F40" t="s">
        <v>25</v>
      </c>
      <c r="G40" t="s">
        <v>26</v>
      </c>
      <c r="H40" t="s">
        <v>33</v>
      </c>
      <c r="I40" t="s">
        <v>28</v>
      </c>
      <c r="J40" t="s">
        <v>29</v>
      </c>
      <c r="K40" t="s">
        <v>196</v>
      </c>
      <c r="L40" t="s">
        <v>367</v>
      </c>
      <c r="M40" t="s">
        <v>29</v>
      </c>
      <c r="N40" t="s">
        <v>30</v>
      </c>
      <c r="O40">
        <v>24</v>
      </c>
      <c r="P40">
        <v>30</v>
      </c>
      <c r="Q40">
        <v>22</v>
      </c>
      <c r="R40" t="s">
        <v>177</v>
      </c>
      <c r="S40" t="s">
        <v>46</v>
      </c>
      <c r="T40" s="2" t="s">
        <v>85</v>
      </c>
      <c r="U40" t="str">
        <f t="shared" si="1"/>
        <v>C:\Users\jordant\PycharmProjects\LCMS_RiPP\output_data_flasks\TJ-C-560_TJ-C-598_unique_sample_39</v>
      </c>
      <c r="V40" s="5" t="s">
        <v>365</v>
      </c>
      <c r="W40">
        <v>182</v>
      </c>
      <c r="X40">
        <v>0</v>
      </c>
      <c r="Y40" s="5" t="s">
        <v>366</v>
      </c>
      <c r="Z40" t="s">
        <v>43</v>
      </c>
    </row>
    <row r="41" spans="1:26" x14ac:dyDescent="0.55000000000000004">
      <c r="A41" t="s">
        <v>262</v>
      </c>
      <c r="B41" t="str">
        <f t="shared" si="0"/>
        <v>2024_09_25</v>
      </c>
      <c r="C41" t="s">
        <v>221</v>
      </c>
      <c r="D41" s="3" t="s">
        <v>41</v>
      </c>
      <c r="F41" t="s">
        <v>25</v>
      </c>
      <c r="G41" t="s">
        <v>26</v>
      </c>
      <c r="H41" t="s">
        <v>33</v>
      </c>
      <c r="I41" t="s">
        <v>28</v>
      </c>
      <c r="J41" t="s">
        <v>29</v>
      </c>
      <c r="K41" t="s">
        <v>39</v>
      </c>
      <c r="L41" t="s">
        <v>373</v>
      </c>
      <c r="M41" t="s">
        <v>29</v>
      </c>
      <c r="N41" t="s">
        <v>30</v>
      </c>
      <c r="O41">
        <v>24</v>
      </c>
      <c r="P41">
        <v>30</v>
      </c>
      <c r="Q41">
        <v>22</v>
      </c>
      <c r="R41" t="s">
        <v>177</v>
      </c>
      <c r="S41" t="s">
        <v>46</v>
      </c>
      <c r="T41" s="2" t="s">
        <v>86</v>
      </c>
      <c r="U41" t="str">
        <f t="shared" si="1"/>
        <v>C:\Users\jordant\PycharmProjects\LCMS_RiPP\output_data_flasks\TJ-C-560_TJ-C-599_unique_sample_40</v>
      </c>
      <c r="V41" s="5" t="s">
        <v>374</v>
      </c>
      <c r="W41">
        <v>182</v>
      </c>
      <c r="X41">
        <v>0</v>
      </c>
      <c r="Y41" s="5" t="s">
        <v>375</v>
      </c>
      <c r="Z41" t="s">
        <v>43</v>
      </c>
    </row>
    <row r="42" spans="1:26" x14ac:dyDescent="0.55000000000000004">
      <c r="A42" t="s">
        <v>263</v>
      </c>
      <c r="B42" t="str">
        <f t="shared" si="0"/>
        <v>2024_11_19</v>
      </c>
      <c r="C42" t="s">
        <v>222</v>
      </c>
      <c r="D42" s="3" t="s">
        <v>41</v>
      </c>
      <c r="F42" t="s">
        <v>25</v>
      </c>
      <c r="G42" t="s">
        <v>26</v>
      </c>
      <c r="H42" t="s">
        <v>31</v>
      </c>
      <c r="I42" t="s">
        <v>32</v>
      </c>
      <c r="J42" t="s">
        <v>29</v>
      </c>
      <c r="K42" t="s">
        <v>36</v>
      </c>
      <c r="L42" t="s">
        <v>401</v>
      </c>
      <c r="M42" t="s">
        <v>29</v>
      </c>
      <c r="N42" t="s">
        <v>30</v>
      </c>
      <c r="O42">
        <v>24</v>
      </c>
      <c r="P42">
        <v>30</v>
      </c>
      <c r="Q42">
        <v>22</v>
      </c>
      <c r="R42" t="s">
        <v>44</v>
      </c>
      <c r="S42" t="s">
        <v>46</v>
      </c>
      <c r="T42" s="2" t="s">
        <v>87</v>
      </c>
      <c r="U42" t="str">
        <f t="shared" si="1"/>
        <v>C:\Users\jordant\PycharmProjects\LCMS_RiPP\output_data_flasks\TJ-C-559_TJ-C-680_unique_sample_41</v>
      </c>
      <c r="V42" s="5" t="s">
        <v>402</v>
      </c>
      <c r="W42">
        <v>205</v>
      </c>
      <c r="X42">
        <v>0</v>
      </c>
      <c r="Y42" s="5" t="s">
        <v>403</v>
      </c>
      <c r="Z42" t="s">
        <v>43</v>
      </c>
    </row>
    <row r="43" spans="1:26" x14ac:dyDescent="0.55000000000000004">
      <c r="A43" t="s">
        <v>264</v>
      </c>
      <c r="B43" t="str">
        <f t="shared" si="0"/>
        <v>2024_11_27</v>
      </c>
      <c r="C43" t="s">
        <v>222</v>
      </c>
      <c r="D43" s="3" t="s">
        <v>41</v>
      </c>
      <c r="F43" t="s">
        <v>25</v>
      </c>
      <c r="G43" t="s">
        <v>26</v>
      </c>
      <c r="H43" t="s">
        <v>31</v>
      </c>
      <c r="I43" t="s">
        <v>32</v>
      </c>
      <c r="J43" t="s">
        <v>29</v>
      </c>
      <c r="K43" t="s">
        <v>36</v>
      </c>
      <c r="L43" t="s">
        <v>401</v>
      </c>
      <c r="M43" t="s">
        <v>29</v>
      </c>
      <c r="N43" t="s">
        <v>30</v>
      </c>
      <c r="O43">
        <v>24</v>
      </c>
      <c r="P43">
        <v>30</v>
      </c>
      <c r="Q43">
        <v>22</v>
      </c>
      <c r="R43" t="s">
        <v>44</v>
      </c>
      <c r="S43" t="s">
        <v>46</v>
      </c>
      <c r="T43" s="2" t="s">
        <v>99</v>
      </c>
      <c r="U43" t="str">
        <f t="shared" si="1"/>
        <v>C:\Users\jordant\PycharmProjects\LCMS_RiPP\output_data_flasks\TJ-C-559_TJ-C-680_unique_sample_42</v>
      </c>
      <c r="V43" s="5" t="s">
        <v>402</v>
      </c>
      <c r="W43">
        <v>205</v>
      </c>
      <c r="X43">
        <v>0</v>
      </c>
      <c r="Y43" s="5" t="s">
        <v>403</v>
      </c>
      <c r="Z43" t="s">
        <v>43</v>
      </c>
    </row>
    <row r="44" spans="1:26" x14ac:dyDescent="0.55000000000000004">
      <c r="A44" t="s">
        <v>265</v>
      </c>
      <c r="B44" t="str">
        <f t="shared" si="0"/>
        <v>2024_11_27</v>
      </c>
      <c r="C44" t="s">
        <v>222</v>
      </c>
      <c r="D44" s="3" t="s">
        <v>41</v>
      </c>
      <c r="F44" t="s">
        <v>25</v>
      </c>
      <c r="G44" t="s">
        <v>26</v>
      </c>
      <c r="H44" t="s">
        <v>31</v>
      </c>
      <c r="I44" t="s">
        <v>32</v>
      </c>
      <c r="J44" t="s">
        <v>29</v>
      </c>
      <c r="K44" t="s">
        <v>36</v>
      </c>
      <c r="L44" t="s">
        <v>401</v>
      </c>
      <c r="M44" t="s">
        <v>29</v>
      </c>
      <c r="N44" t="s">
        <v>30</v>
      </c>
      <c r="O44">
        <v>30</v>
      </c>
      <c r="P44">
        <v>30</v>
      </c>
      <c r="Q44">
        <v>22</v>
      </c>
      <c r="R44" t="s">
        <v>44</v>
      </c>
      <c r="S44" t="s">
        <v>46</v>
      </c>
      <c r="T44" s="2" t="s">
        <v>100</v>
      </c>
      <c r="U44" t="str">
        <f t="shared" si="1"/>
        <v>C:\Users\jordant\PycharmProjects\LCMS_RiPP\output_data_flasks\TJ-C-559_TJ-C-680_unique_sample_43</v>
      </c>
      <c r="V44" s="5" t="s">
        <v>402</v>
      </c>
      <c r="W44">
        <v>205</v>
      </c>
      <c r="X44">
        <v>0</v>
      </c>
      <c r="Y44" s="5" t="s">
        <v>403</v>
      </c>
      <c r="Z44" t="s">
        <v>43</v>
      </c>
    </row>
    <row r="45" spans="1:26" x14ac:dyDescent="0.55000000000000004">
      <c r="A45" t="s">
        <v>266</v>
      </c>
      <c r="B45" t="str">
        <f t="shared" si="0"/>
        <v>2024_11_27</v>
      </c>
      <c r="C45" t="s">
        <v>222</v>
      </c>
      <c r="D45" s="3" t="s">
        <v>41</v>
      </c>
      <c r="F45" t="s">
        <v>25</v>
      </c>
      <c r="G45" t="s">
        <v>26</v>
      </c>
      <c r="H45" t="s">
        <v>31</v>
      </c>
      <c r="I45" t="s">
        <v>32</v>
      </c>
      <c r="J45" t="s">
        <v>29</v>
      </c>
      <c r="K45" t="s">
        <v>206</v>
      </c>
      <c r="L45" t="s">
        <v>404</v>
      </c>
      <c r="M45" t="s">
        <v>29</v>
      </c>
      <c r="N45" t="s">
        <v>30</v>
      </c>
      <c r="O45">
        <v>24</v>
      </c>
      <c r="P45">
        <v>30</v>
      </c>
      <c r="Q45">
        <v>22</v>
      </c>
      <c r="R45" t="s">
        <v>44</v>
      </c>
      <c r="S45" t="s">
        <v>46</v>
      </c>
      <c r="T45" s="2" t="s">
        <v>101</v>
      </c>
      <c r="U45" t="str">
        <f t="shared" si="1"/>
        <v>C:\Users\jordant\PycharmProjects\LCMS_RiPP\output_data_flasks\TJ-C-559_TJ-C-682_unique_sample_44</v>
      </c>
      <c r="V45" s="5" t="s">
        <v>405</v>
      </c>
      <c r="W45">
        <v>179</v>
      </c>
      <c r="X45">
        <v>0</v>
      </c>
      <c r="Y45" s="5" t="s">
        <v>406</v>
      </c>
      <c r="Z45" t="s">
        <v>43</v>
      </c>
    </row>
    <row r="46" spans="1:26" x14ac:dyDescent="0.55000000000000004">
      <c r="A46" t="s">
        <v>267</v>
      </c>
      <c r="B46" t="str">
        <f t="shared" si="0"/>
        <v>2024_11_27</v>
      </c>
      <c r="C46" t="s">
        <v>222</v>
      </c>
      <c r="D46" s="3" t="s">
        <v>41</v>
      </c>
      <c r="F46" t="s">
        <v>25</v>
      </c>
      <c r="G46" t="s">
        <v>26</v>
      </c>
      <c r="H46" t="s">
        <v>31</v>
      </c>
      <c r="I46" t="s">
        <v>32</v>
      </c>
      <c r="J46" t="s">
        <v>29</v>
      </c>
      <c r="K46" t="s">
        <v>206</v>
      </c>
      <c r="L46" t="s">
        <v>404</v>
      </c>
      <c r="M46" t="s">
        <v>29</v>
      </c>
      <c r="N46" t="s">
        <v>30</v>
      </c>
      <c r="O46">
        <v>30</v>
      </c>
      <c r="P46">
        <v>30</v>
      </c>
      <c r="Q46">
        <v>22</v>
      </c>
      <c r="R46" t="s">
        <v>44</v>
      </c>
      <c r="S46" t="s">
        <v>46</v>
      </c>
      <c r="T46" s="2" t="s">
        <v>102</v>
      </c>
      <c r="U46" t="str">
        <f t="shared" si="1"/>
        <v>C:\Users\jordant\PycharmProjects\LCMS_RiPP\output_data_flasks\TJ-C-559_TJ-C-682_unique_sample_45</v>
      </c>
      <c r="V46" s="5" t="s">
        <v>405</v>
      </c>
      <c r="W46">
        <v>179</v>
      </c>
      <c r="X46">
        <v>0</v>
      </c>
      <c r="Y46" s="5" t="s">
        <v>406</v>
      </c>
      <c r="Z46" t="s">
        <v>43</v>
      </c>
    </row>
    <row r="47" spans="1:26" x14ac:dyDescent="0.55000000000000004">
      <c r="A47" t="s">
        <v>268</v>
      </c>
      <c r="B47" t="str">
        <f t="shared" si="0"/>
        <v>2024_11_19</v>
      </c>
      <c r="C47" t="s">
        <v>222</v>
      </c>
      <c r="D47" s="3" t="s">
        <v>41</v>
      </c>
      <c r="F47" t="s">
        <v>25</v>
      </c>
      <c r="G47" t="s">
        <v>26</v>
      </c>
      <c r="H47" t="s">
        <v>31</v>
      </c>
      <c r="I47" t="s">
        <v>32</v>
      </c>
      <c r="J47" t="s">
        <v>29</v>
      </c>
      <c r="K47" t="s">
        <v>37</v>
      </c>
      <c r="L47" t="s">
        <v>407</v>
      </c>
      <c r="M47" t="s">
        <v>29</v>
      </c>
      <c r="N47" t="s">
        <v>30</v>
      </c>
      <c r="O47">
        <v>24</v>
      </c>
      <c r="P47">
        <v>30</v>
      </c>
      <c r="Q47">
        <v>22</v>
      </c>
      <c r="R47" t="s">
        <v>44</v>
      </c>
      <c r="S47" t="s">
        <v>46</v>
      </c>
      <c r="T47" s="2" t="s">
        <v>90</v>
      </c>
      <c r="U47" t="str">
        <f t="shared" si="1"/>
        <v>C:\Users\jordant\PycharmProjects\LCMS_RiPP\output_data_flasks\TJ-C-559_TJ-C-683_unique_sample_46</v>
      </c>
      <c r="V47" s="5" t="s">
        <v>408</v>
      </c>
      <c r="W47">
        <v>205</v>
      </c>
      <c r="X47">
        <v>0</v>
      </c>
      <c r="Y47" s="5" t="s">
        <v>409</v>
      </c>
      <c r="Z47" t="s">
        <v>43</v>
      </c>
    </row>
    <row r="48" spans="1:26" x14ac:dyDescent="0.55000000000000004">
      <c r="A48" t="s">
        <v>269</v>
      </c>
      <c r="B48" t="str">
        <f t="shared" si="0"/>
        <v>2024_11_27</v>
      </c>
      <c r="C48" t="s">
        <v>222</v>
      </c>
      <c r="D48" s="3" t="s">
        <v>41</v>
      </c>
      <c r="F48" t="s">
        <v>25</v>
      </c>
      <c r="G48" t="s">
        <v>26</v>
      </c>
      <c r="H48" t="s">
        <v>31</v>
      </c>
      <c r="I48" t="s">
        <v>32</v>
      </c>
      <c r="J48" t="s">
        <v>29</v>
      </c>
      <c r="K48" t="s">
        <v>37</v>
      </c>
      <c r="L48" t="s">
        <v>407</v>
      </c>
      <c r="M48" t="s">
        <v>29</v>
      </c>
      <c r="N48" t="s">
        <v>30</v>
      </c>
      <c r="O48">
        <v>24</v>
      </c>
      <c r="P48">
        <v>30</v>
      </c>
      <c r="Q48">
        <v>22</v>
      </c>
      <c r="R48" t="s">
        <v>44</v>
      </c>
      <c r="S48" t="s">
        <v>46</v>
      </c>
      <c r="T48" s="2" t="s">
        <v>103</v>
      </c>
      <c r="U48" t="str">
        <f t="shared" si="1"/>
        <v>C:\Users\jordant\PycharmProjects\LCMS_RiPP\output_data_flasks\TJ-C-559_TJ-C-683_unique_sample_47</v>
      </c>
      <c r="V48" s="5" t="s">
        <v>408</v>
      </c>
      <c r="W48">
        <v>205</v>
      </c>
      <c r="X48">
        <v>0</v>
      </c>
      <c r="Y48" s="5" t="s">
        <v>409</v>
      </c>
      <c r="Z48" t="s">
        <v>43</v>
      </c>
    </row>
    <row r="49" spans="1:26" x14ac:dyDescent="0.55000000000000004">
      <c r="A49" t="s">
        <v>270</v>
      </c>
      <c r="B49" t="str">
        <f t="shared" si="0"/>
        <v>2024_11_27</v>
      </c>
      <c r="C49" t="s">
        <v>222</v>
      </c>
      <c r="D49" s="3" t="s">
        <v>41</v>
      </c>
      <c r="F49" t="s">
        <v>25</v>
      </c>
      <c r="G49" t="s">
        <v>26</v>
      </c>
      <c r="H49" t="s">
        <v>31</v>
      </c>
      <c r="I49" t="s">
        <v>32</v>
      </c>
      <c r="J49" t="s">
        <v>29</v>
      </c>
      <c r="K49" t="s">
        <v>37</v>
      </c>
      <c r="L49" t="s">
        <v>407</v>
      </c>
      <c r="M49" t="s">
        <v>29</v>
      </c>
      <c r="N49" t="s">
        <v>30</v>
      </c>
      <c r="O49">
        <v>30</v>
      </c>
      <c r="P49">
        <v>30</v>
      </c>
      <c r="Q49">
        <v>22</v>
      </c>
      <c r="R49" t="s">
        <v>44</v>
      </c>
      <c r="S49" t="s">
        <v>46</v>
      </c>
      <c r="T49" s="2" t="s">
        <v>104</v>
      </c>
      <c r="U49" t="str">
        <f t="shared" si="1"/>
        <v>C:\Users\jordant\PycharmProjects\LCMS_RiPP\output_data_flasks\TJ-C-559_TJ-C-683_unique_sample_48</v>
      </c>
      <c r="V49" s="5" t="s">
        <v>408</v>
      </c>
      <c r="W49">
        <v>205</v>
      </c>
      <c r="X49">
        <v>0</v>
      </c>
      <c r="Y49" s="5" t="s">
        <v>409</v>
      </c>
      <c r="Z49" t="s">
        <v>43</v>
      </c>
    </row>
    <row r="50" spans="1:26" x14ac:dyDescent="0.55000000000000004">
      <c r="A50" t="s">
        <v>271</v>
      </c>
      <c r="B50" t="str">
        <f t="shared" si="0"/>
        <v>2024_11_19</v>
      </c>
      <c r="C50" t="s">
        <v>222</v>
      </c>
      <c r="D50" s="3" t="s">
        <v>41</v>
      </c>
      <c r="F50" t="s">
        <v>25</v>
      </c>
      <c r="G50" t="s">
        <v>26</v>
      </c>
      <c r="H50" t="s">
        <v>31</v>
      </c>
      <c r="I50" t="s">
        <v>32</v>
      </c>
      <c r="J50" t="s">
        <v>29</v>
      </c>
      <c r="K50" t="s">
        <v>205</v>
      </c>
      <c r="L50" t="s">
        <v>410</v>
      </c>
      <c r="M50" t="s">
        <v>29</v>
      </c>
      <c r="N50" t="s">
        <v>30</v>
      </c>
      <c r="O50">
        <v>24</v>
      </c>
      <c r="P50">
        <v>30</v>
      </c>
      <c r="Q50">
        <v>22</v>
      </c>
      <c r="R50" t="s">
        <v>44</v>
      </c>
      <c r="S50" t="s">
        <v>46</v>
      </c>
      <c r="T50" s="2" t="s">
        <v>88</v>
      </c>
      <c r="U50" t="str">
        <f t="shared" si="1"/>
        <v>C:\Users\jordant\PycharmProjects\LCMS_RiPP\output_data_flasks\TJ-C-559_TJ-C-681_unique_sample_49</v>
      </c>
      <c r="V50" s="5" t="s">
        <v>411</v>
      </c>
      <c r="W50">
        <v>185</v>
      </c>
      <c r="X50">
        <v>0</v>
      </c>
      <c r="Y50" s="5" t="s">
        <v>415</v>
      </c>
      <c r="Z50" t="s">
        <v>43</v>
      </c>
    </row>
    <row r="51" spans="1:26" x14ac:dyDescent="0.55000000000000004">
      <c r="A51" t="s">
        <v>272</v>
      </c>
      <c r="B51" t="str">
        <f t="shared" si="0"/>
        <v>2024_11_19</v>
      </c>
      <c r="C51" t="s">
        <v>222</v>
      </c>
      <c r="D51" s="3" t="s">
        <v>41</v>
      </c>
      <c r="F51" t="s">
        <v>25</v>
      </c>
      <c r="G51" t="s">
        <v>26</v>
      </c>
      <c r="H51" t="s">
        <v>31</v>
      </c>
      <c r="I51" t="s">
        <v>32</v>
      </c>
      <c r="J51" t="s">
        <v>29</v>
      </c>
      <c r="K51" t="s">
        <v>207</v>
      </c>
      <c r="L51" t="s">
        <v>412</v>
      </c>
      <c r="M51" t="s">
        <v>29</v>
      </c>
      <c r="N51" t="s">
        <v>30</v>
      </c>
      <c r="O51">
        <v>24</v>
      </c>
      <c r="P51">
        <v>30</v>
      </c>
      <c r="Q51">
        <v>22</v>
      </c>
      <c r="R51" t="s">
        <v>44</v>
      </c>
      <c r="S51" t="s">
        <v>46</v>
      </c>
      <c r="T51" s="2" t="s">
        <v>91</v>
      </c>
      <c r="U51" t="str">
        <f t="shared" si="1"/>
        <v>C:\Users\jordant\PycharmProjects\LCMS_RiPP\output_data_flasks\TJ-C-559_TJ-C-684_unique_sample_50</v>
      </c>
      <c r="V51" s="5" t="s">
        <v>413</v>
      </c>
      <c r="W51">
        <v>185</v>
      </c>
      <c r="X51">
        <v>0</v>
      </c>
      <c r="Y51" s="5" t="s">
        <v>414</v>
      </c>
      <c r="Z51" t="s">
        <v>43</v>
      </c>
    </row>
    <row r="52" spans="1:26" x14ac:dyDescent="0.55000000000000004">
      <c r="A52" t="s">
        <v>273</v>
      </c>
      <c r="B52" t="str">
        <f t="shared" si="0"/>
        <v>2024_11_19</v>
      </c>
      <c r="C52" t="s">
        <v>222</v>
      </c>
      <c r="D52" s="3" t="s">
        <v>41</v>
      </c>
      <c r="F52" t="s">
        <v>25</v>
      </c>
      <c r="G52" t="s">
        <v>26</v>
      </c>
      <c r="H52" t="s">
        <v>31</v>
      </c>
      <c r="I52" t="s">
        <v>32</v>
      </c>
      <c r="J52" t="s">
        <v>29</v>
      </c>
      <c r="K52" t="s">
        <v>206</v>
      </c>
      <c r="L52" t="s">
        <v>404</v>
      </c>
      <c r="M52" t="s">
        <v>29</v>
      </c>
      <c r="N52" t="s">
        <v>30</v>
      </c>
      <c r="O52">
        <v>24</v>
      </c>
      <c r="P52">
        <v>30</v>
      </c>
      <c r="Q52">
        <v>22</v>
      </c>
      <c r="R52" t="s">
        <v>44</v>
      </c>
      <c r="S52" t="s">
        <v>46</v>
      </c>
      <c r="T52" s="2" t="s">
        <v>89</v>
      </c>
      <c r="U52" t="str">
        <f t="shared" si="1"/>
        <v>C:\Users\jordant\PycharmProjects\LCMS_RiPP\output_data_flasks\TJ-C-559_TJ-C-682_unique_sample_51</v>
      </c>
      <c r="V52" s="5" t="s">
        <v>405</v>
      </c>
      <c r="W52">
        <v>179</v>
      </c>
      <c r="X52">
        <v>0</v>
      </c>
      <c r="Y52" s="5" t="s">
        <v>405</v>
      </c>
      <c r="Z52" t="s">
        <v>43</v>
      </c>
    </row>
    <row r="53" spans="1:26" x14ac:dyDescent="0.55000000000000004">
      <c r="A53" t="s">
        <v>274</v>
      </c>
      <c r="B53" t="str">
        <f t="shared" si="0"/>
        <v>2024_11_19</v>
      </c>
      <c r="C53" t="s">
        <v>222</v>
      </c>
      <c r="D53" s="3" t="s">
        <v>41</v>
      </c>
      <c r="F53" t="s">
        <v>25</v>
      </c>
      <c r="G53" t="s">
        <v>26</v>
      </c>
      <c r="H53" t="s">
        <v>31</v>
      </c>
      <c r="I53" t="s">
        <v>32</v>
      </c>
      <c r="J53" t="s">
        <v>29</v>
      </c>
      <c r="K53" t="s">
        <v>208</v>
      </c>
      <c r="L53" t="s">
        <v>416</v>
      </c>
      <c r="M53" t="s">
        <v>29</v>
      </c>
      <c r="N53" t="s">
        <v>30</v>
      </c>
      <c r="O53">
        <v>24</v>
      </c>
      <c r="P53">
        <v>30</v>
      </c>
      <c r="Q53">
        <v>22</v>
      </c>
      <c r="R53" t="s">
        <v>44</v>
      </c>
      <c r="S53" t="s">
        <v>46</v>
      </c>
      <c r="T53" s="2" t="s">
        <v>92</v>
      </c>
      <c r="U53" t="str">
        <f t="shared" si="1"/>
        <v>C:\Users\jordant\PycharmProjects\LCMS_RiPP\output_data_flasks\TJ-C-559_TJ-C-685_unique_sample_52</v>
      </c>
      <c r="V53" s="5" t="s">
        <v>417</v>
      </c>
      <c r="W53">
        <v>179</v>
      </c>
      <c r="X53">
        <v>0</v>
      </c>
      <c r="Y53" s="5" t="s">
        <v>418</v>
      </c>
      <c r="Z53" t="s">
        <v>43</v>
      </c>
    </row>
    <row r="54" spans="1:26" x14ac:dyDescent="0.55000000000000004">
      <c r="A54" t="s">
        <v>275</v>
      </c>
      <c r="B54" t="str">
        <f t="shared" si="0"/>
        <v>2024_11_27</v>
      </c>
      <c r="C54" t="s">
        <v>222</v>
      </c>
      <c r="D54" s="3" t="s">
        <v>41</v>
      </c>
      <c r="F54" t="s">
        <v>25</v>
      </c>
      <c r="G54" t="s">
        <v>26</v>
      </c>
      <c r="H54" t="s">
        <v>31</v>
      </c>
      <c r="I54" t="s">
        <v>32</v>
      </c>
      <c r="J54" t="s">
        <v>29</v>
      </c>
      <c r="K54" t="s">
        <v>208</v>
      </c>
      <c r="L54" t="s">
        <v>416</v>
      </c>
      <c r="M54" t="s">
        <v>29</v>
      </c>
      <c r="N54" t="s">
        <v>30</v>
      </c>
      <c r="O54">
        <v>24</v>
      </c>
      <c r="P54">
        <v>30</v>
      </c>
      <c r="Q54">
        <v>22</v>
      </c>
      <c r="R54" t="s">
        <v>44</v>
      </c>
      <c r="S54" t="s">
        <v>46</v>
      </c>
      <c r="T54" s="2" t="s">
        <v>105</v>
      </c>
      <c r="U54" t="str">
        <f t="shared" si="1"/>
        <v>C:\Users\jordant\PycharmProjects\LCMS_RiPP\output_data_flasks\TJ-C-559_TJ-C-685_unique_sample_53</v>
      </c>
      <c r="V54" s="5" t="s">
        <v>417</v>
      </c>
      <c r="W54">
        <v>179</v>
      </c>
      <c r="X54">
        <v>0</v>
      </c>
      <c r="Y54" s="5" t="s">
        <v>418</v>
      </c>
      <c r="Z54" t="s">
        <v>43</v>
      </c>
    </row>
    <row r="55" spans="1:26" x14ac:dyDescent="0.55000000000000004">
      <c r="A55" t="s">
        <v>276</v>
      </c>
      <c r="B55" t="str">
        <f t="shared" si="0"/>
        <v>2024_11_27</v>
      </c>
      <c r="C55" t="s">
        <v>222</v>
      </c>
      <c r="D55" s="3" t="s">
        <v>41</v>
      </c>
      <c r="F55" t="s">
        <v>25</v>
      </c>
      <c r="G55" t="s">
        <v>26</v>
      </c>
      <c r="H55" t="s">
        <v>31</v>
      </c>
      <c r="I55" t="s">
        <v>32</v>
      </c>
      <c r="J55" t="s">
        <v>29</v>
      </c>
      <c r="K55" t="s">
        <v>208</v>
      </c>
      <c r="L55" t="s">
        <v>416</v>
      </c>
      <c r="M55" t="s">
        <v>29</v>
      </c>
      <c r="N55" t="s">
        <v>30</v>
      </c>
      <c r="O55">
        <v>24</v>
      </c>
      <c r="P55">
        <v>30</v>
      </c>
      <c r="Q55">
        <v>22</v>
      </c>
      <c r="R55" t="s">
        <v>44</v>
      </c>
      <c r="S55" t="s">
        <v>46</v>
      </c>
      <c r="T55" s="2" t="s">
        <v>106</v>
      </c>
      <c r="U55" t="str">
        <f t="shared" si="1"/>
        <v>C:\Users\jordant\PycharmProjects\LCMS_RiPP\output_data_flasks\TJ-C-559_TJ-C-685_unique_sample_54</v>
      </c>
      <c r="V55" s="5" t="s">
        <v>417</v>
      </c>
      <c r="W55">
        <v>179</v>
      </c>
      <c r="X55">
        <v>0</v>
      </c>
      <c r="Y55" s="5" t="s">
        <v>418</v>
      </c>
      <c r="Z55" t="s">
        <v>43</v>
      </c>
    </row>
    <row r="56" spans="1:26" x14ac:dyDescent="0.55000000000000004">
      <c r="A56" t="s">
        <v>277</v>
      </c>
      <c r="B56" t="str">
        <f t="shared" si="0"/>
        <v>2024_11_19</v>
      </c>
      <c r="C56" t="s">
        <v>222</v>
      </c>
      <c r="D56" s="3" t="s">
        <v>41</v>
      </c>
      <c r="F56" t="s">
        <v>25</v>
      </c>
      <c r="G56" t="s">
        <v>26</v>
      </c>
      <c r="H56" t="s">
        <v>33</v>
      </c>
      <c r="I56" t="s">
        <v>28</v>
      </c>
      <c r="J56" t="s">
        <v>29</v>
      </c>
      <c r="K56" t="s">
        <v>34</v>
      </c>
      <c r="L56" t="s">
        <v>419</v>
      </c>
      <c r="M56" t="s">
        <v>29</v>
      </c>
      <c r="N56" t="s">
        <v>30</v>
      </c>
      <c r="O56">
        <v>24</v>
      </c>
      <c r="P56">
        <v>30</v>
      </c>
      <c r="Q56">
        <v>22</v>
      </c>
      <c r="R56" t="s">
        <v>44</v>
      </c>
      <c r="S56" t="s">
        <v>46</v>
      </c>
      <c r="T56" s="2" t="s">
        <v>93</v>
      </c>
      <c r="U56" t="str">
        <f t="shared" si="1"/>
        <v>C:\Users\jordant\PycharmProjects\LCMS_RiPP\output_data_flasks\TJ-C-560_TJ-C-674_unique_sample_55</v>
      </c>
      <c r="V56" s="5" t="s">
        <v>420</v>
      </c>
      <c r="W56">
        <v>209</v>
      </c>
      <c r="X56">
        <v>0</v>
      </c>
      <c r="Y56" s="5" t="s">
        <v>421</v>
      </c>
      <c r="Z56" t="s">
        <v>43</v>
      </c>
    </row>
    <row r="57" spans="1:26" x14ac:dyDescent="0.55000000000000004">
      <c r="A57" t="s">
        <v>278</v>
      </c>
      <c r="B57" t="str">
        <f t="shared" si="0"/>
        <v>2024_11_27</v>
      </c>
      <c r="C57" t="s">
        <v>222</v>
      </c>
      <c r="D57" s="3" t="s">
        <v>41</v>
      </c>
      <c r="F57" t="s">
        <v>25</v>
      </c>
      <c r="G57" t="s">
        <v>26</v>
      </c>
      <c r="H57" t="s">
        <v>33</v>
      </c>
      <c r="I57" t="s">
        <v>28</v>
      </c>
      <c r="J57" t="s">
        <v>29</v>
      </c>
      <c r="K57" t="s">
        <v>34</v>
      </c>
      <c r="L57" t="s">
        <v>419</v>
      </c>
      <c r="M57" t="s">
        <v>29</v>
      </c>
      <c r="N57" t="s">
        <v>30</v>
      </c>
      <c r="O57">
        <v>24</v>
      </c>
      <c r="P57">
        <v>30</v>
      </c>
      <c r="Q57">
        <v>22</v>
      </c>
      <c r="R57" t="s">
        <v>44</v>
      </c>
      <c r="S57" t="s">
        <v>46</v>
      </c>
      <c r="T57" s="2" t="s">
        <v>107</v>
      </c>
      <c r="U57" t="str">
        <f t="shared" si="1"/>
        <v>C:\Users\jordant\PycharmProjects\LCMS_RiPP\output_data_flasks\TJ-C-560_TJ-C-674_unique_sample_56</v>
      </c>
      <c r="V57" s="5" t="s">
        <v>420</v>
      </c>
      <c r="W57">
        <v>209</v>
      </c>
      <c r="X57">
        <v>0</v>
      </c>
      <c r="Y57" s="5" t="s">
        <v>421</v>
      </c>
      <c r="Z57" t="s">
        <v>43</v>
      </c>
    </row>
    <row r="58" spans="1:26" x14ac:dyDescent="0.55000000000000004">
      <c r="A58" t="s">
        <v>279</v>
      </c>
      <c r="B58" t="str">
        <f t="shared" si="0"/>
        <v>2024_11_27</v>
      </c>
      <c r="C58" t="s">
        <v>222</v>
      </c>
      <c r="D58" s="3" t="s">
        <v>41</v>
      </c>
      <c r="F58" t="s">
        <v>25</v>
      </c>
      <c r="G58" t="s">
        <v>26</v>
      </c>
      <c r="H58" t="s">
        <v>33</v>
      </c>
      <c r="I58" t="s">
        <v>28</v>
      </c>
      <c r="J58" t="s">
        <v>29</v>
      </c>
      <c r="K58" t="s">
        <v>34</v>
      </c>
      <c r="L58" t="s">
        <v>419</v>
      </c>
      <c r="M58" t="s">
        <v>29</v>
      </c>
      <c r="N58" t="s">
        <v>30</v>
      </c>
      <c r="O58">
        <v>30</v>
      </c>
      <c r="P58">
        <v>30</v>
      </c>
      <c r="Q58">
        <v>22</v>
      </c>
      <c r="R58" t="s">
        <v>44</v>
      </c>
      <c r="S58" t="s">
        <v>46</v>
      </c>
      <c r="T58" s="2" t="s">
        <v>108</v>
      </c>
      <c r="U58" t="str">
        <f t="shared" si="1"/>
        <v>C:\Users\jordant\PycharmProjects\LCMS_RiPP\output_data_flasks\TJ-C-560_TJ-C-674_unique_sample_57</v>
      </c>
      <c r="V58" s="5" t="s">
        <v>420</v>
      </c>
      <c r="W58">
        <v>209</v>
      </c>
      <c r="X58">
        <v>0</v>
      </c>
      <c r="Y58" s="5" t="s">
        <v>421</v>
      </c>
      <c r="Z58" t="s">
        <v>43</v>
      </c>
    </row>
    <row r="59" spans="1:26" x14ac:dyDescent="0.55000000000000004">
      <c r="A59" t="s">
        <v>280</v>
      </c>
      <c r="B59" t="str">
        <f t="shared" si="0"/>
        <v>2024_11_19</v>
      </c>
      <c r="C59" t="s">
        <v>222</v>
      </c>
      <c r="D59" s="3" t="s">
        <v>41</v>
      </c>
      <c r="F59" t="s">
        <v>25</v>
      </c>
      <c r="G59" t="s">
        <v>26</v>
      </c>
      <c r="H59" t="s">
        <v>33</v>
      </c>
      <c r="I59" t="s">
        <v>28</v>
      </c>
      <c r="J59" t="s">
        <v>29</v>
      </c>
      <c r="K59" t="s">
        <v>209</v>
      </c>
      <c r="L59" t="s">
        <v>422</v>
      </c>
      <c r="M59" t="s">
        <v>29</v>
      </c>
      <c r="N59" t="s">
        <v>30</v>
      </c>
      <c r="O59">
        <v>24</v>
      </c>
      <c r="P59">
        <v>30</v>
      </c>
      <c r="Q59">
        <v>22</v>
      </c>
      <c r="R59" t="s">
        <v>44</v>
      </c>
      <c r="S59" t="s">
        <v>46</v>
      </c>
      <c r="T59" s="2" t="s">
        <v>94</v>
      </c>
      <c r="U59" t="str">
        <f t="shared" si="1"/>
        <v>C:\Users\jordant\PycharmProjects\LCMS_RiPP\output_data_flasks\TJ-C-560_TJ-C-675_unique_sample_58</v>
      </c>
      <c r="V59" s="5" t="s">
        <v>423</v>
      </c>
      <c r="W59">
        <v>189</v>
      </c>
      <c r="X59">
        <v>0</v>
      </c>
      <c r="Y59" s="5" t="s">
        <v>424</v>
      </c>
      <c r="Z59" t="s">
        <v>45</v>
      </c>
    </row>
    <row r="60" spans="1:26" x14ac:dyDescent="0.55000000000000004">
      <c r="A60" t="s">
        <v>281</v>
      </c>
      <c r="B60" t="str">
        <f t="shared" si="0"/>
        <v>2024_11_19</v>
      </c>
      <c r="C60" t="s">
        <v>222</v>
      </c>
      <c r="D60" s="3" t="s">
        <v>41</v>
      </c>
      <c r="F60" t="s">
        <v>25</v>
      </c>
      <c r="G60" t="s">
        <v>26</v>
      </c>
      <c r="H60" t="s">
        <v>33</v>
      </c>
      <c r="I60" t="s">
        <v>28</v>
      </c>
      <c r="J60" t="s">
        <v>29</v>
      </c>
      <c r="K60" t="s">
        <v>210</v>
      </c>
      <c r="L60" t="s">
        <v>425</v>
      </c>
      <c r="M60" t="s">
        <v>29</v>
      </c>
      <c r="N60" t="s">
        <v>30</v>
      </c>
      <c r="O60">
        <v>24</v>
      </c>
      <c r="P60">
        <v>30</v>
      </c>
      <c r="Q60">
        <v>22</v>
      </c>
      <c r="R60" t="s">
        <v>44</v>
      </c>
      <c r="S60" t="s">
        <v>46</v>
      </c>
      <c r="T60" s="2" t="s">
        <v>95</v>
      </c>
      <c r="U60" t="str">
        <f t="shared" si="1"/>
        <v>C:\Users\jordant\PycharmProjects\LCMS_RiPP\output_data_flasks\TJ-C-560_TJ-C-676_unique_sample_59</v>
      </c>
      <c r="V60" s="5" t="s">
        <v>426</v>
      </c>
      <c r="W60">
        <v>183</v>
      </c>
      <c r="X60">
        <v>0</v>
      </c>
      <c r="Y60" s="5" t="s">
        <v>427</v>
      </c>
      <c r="Z60" t="s">
        <v>43</v>
      </c>
    </row>
    <row r="61" spans="1:26" x14ac:dyDescent="0.55000000000000004">
      <c r="A61" t="s">
        <v>282</v>
      </c>
      <c r="B61" t="str">
        <f t="shared" si="0"/>
        <v>2024_11_27</v>
      </c>
      <c r="C61" t="s">
        <v>222</v>
      </c>
      <c r="D61" s="3" t="s">
        <v>41</v>
      </c>
      <c r="F61" t="s">
        <v>25</v>
      </c>
      <c r="G61" t="s">
        <v>26</v>
      </c>
      <c r="H61" t="s">
        <v>33</v>
      </c>
      <c r="I61" t="s">
        <v>28</v>
      </c>
      <c r="J61" t="s">
        <v>29</v>
      </c>
      <c r="K61" t="s">
        <v>210</v>
      </c>
      <c r="L61" t="s">
        <v>425</v>
      </c>
      <c r="M61" t="s">
        <v>29</v>
      </c>
      <c r="N61" t="s">
        <v>30</v>
      </c>
      <c r="O61">
        <v>24</v>
      </c>
      <c r="P61">
        <v>30</v>
      </c>
      <c r="Q61">
        <v>22</v>
      </c>
      <c r="R61" t="s">
        <v>44</v>
      </c>
      <c r="S61" t="s">
        <v>46</v>
      </c>
      <c r="T61" s="2" t="s">
        <v>109</v>
      </c>
      <c r="U61" t="str">
        <f t="shared" si="1"/>
        <v>C:\Users\jordant\PycharmProjects\LCMS_RiPP\output_data_flasks\TJ-C-560_TJ-C-676_unique_sample_60</v>
      </c>
      <c r="V61" s="5" t="s">
        <v>426</v>
      </c>
      <c r="W61">
        <v>183</v>
      </c>
      <c r="X61">
        <v>0</v>
      </c>
      <c r="Y61" s="5" t="s">
        <v>427</v>
      </c>
      <c r="Z61" t="s">
        <v>43</v>
      </c>
    </row>
    <row r="62" spans="1:26" x14ac:dyDescent="0.55000000000000004">
      <c r="A62" t="s">
        <v>283</v>
      </c>
      <c r="B62" t="str">
        <f t="shared" si="0"/>
        <v>2024_11_27</v>
      </c>
      <c r="C62" t="s">
        <v>222</v>
      </c>
      <c r="D62" s="3" t="s">
        <v>41</v>
      </c>
      <c r="F62" t="s">
        <v>25</v>
      </c>
      <c r="G62" t="s">
        <v>26</v>
      </c>
      <c r="H62" t="s">
        <v>33</v>
      </c>
      <c r="I62" t="s">
        <v>28</v>
      </c>
      <c r="J62" t="s">
        <v>29</v>
      </c>
      <c r="K62" t="s">
        <v>210</v>
      </c>
      <c r="L62" t="s">
        <v>425</v>
      </c>
      <c r="M62" t="s">
        <v>29</v>
      </c>
      <c r="N62" t="s">
        <v>30</v>
      </c>
      <c r="O62">
        <v>30</v>
      </c>
      <c r="P62">
        <v>30</v>
      </c>
      <c r="Q62">
        <v>22</v>
      </c>
      <c r="R62" t="s">
        <v>44</v>
      </c>
      <c r="S62" t="s">
        <v>46</v>
      </c>
      <c r="T62" s="2" t="s">
        <v>110</v>
      </c>
      <c r="U62" t="str">
        <f t="shared" si="1"/>
        <v>C:\Users\jordant\PycharmProjects\LCMS_RiPP\output_data_flasks\TJ-C-560_TJ-C-676_unique_sample_61</v>
      </c>
      <c r="V62" s="5" t="s">
        <v>426</v>
      </c>
      <c r="W62">
        <v>183</v>
      </c>
      <c r="X62">
        <v>0</v>
      </c>
      <c r="Y62" s="5" t="s">
        <v>427</v>
      </c>
      <c r="Z62" t="s">
        <v>43</v>
      </c>
    </row>
    <row r="63" spans="1:26" x14ac:dyDescent="0.55000000000000004">
      <c r="A63" t="s">
        <v>284</v>
      </c>
      <c r="B63" t="str">
        <f t="shared" si="0"/>
        <v>2025_01_23</v>
      </c>
      <c r="C63" t="s">
        <v>222</v>
      </c>
      <c r="D63" s="3" t="s">
        <v>41</v>
      </c>
      <c r="F63" t="s">
        <v>25</v>
      </c>
      <c r="G63" t="s">
        <v>26</v>
      </c>
      <c r="H63" t="s">
        <v>27</v>
      </c>
      <c r="I63" t="s">
        <v>28</v>
      </c>
      <c r="J63" t="s">
        <v>29</v>
      </c>
      <c r="K63" t="s">
        <v>210</v>
      </c>
      <c r="L63" t="s">
        <v>425</v>
      </c>
      <c r="M63" t="s">
        <v>29</v>
      </c>
      <c r="N63" t="s">
        <v>30</v>
      </c>
      <c r="O63">
        <v>24</v>
      </c>
      <c r="P63">
        <v>30</v>
      </c>
      <c r="Q63">
        <v>22</v>
      </c>
      <c r="R63" t="s">
        <v>44</v>
      </c>
      <c r="S63" t="s">
        <v>46</v>
      </c>
      <c r="T63" s="2" t="s">
        <v>135</v>
      </c>
      <c r="U63" t="str">
        <f t="shared" si="1"/>
        <v>C:\Users\jordant\PycharmProjects\LCMS_RiPP\output_data_flasks\TJ-C-689_TJ-C-676_unique_sample_62</v>
      </c>
      <c r="V63" s="5" t="s">
        <v>426</v>
      </c>
      <c r="W63">
        <v>183</v>
      </c>
      <c r="X63">
        <v>0</v>
      </c>
      <c r="Y63" s="5" t="s">
        <v>427</v>
      </c>
      <c r="Z63" t="s">
        <v>43</v>
      </c>
    </row>
    <row r="64" spans="1:26" x14ac:dyDescent="0.55000000000000004">
      <c r="A64" t="s">
        <v>285</v>
      </c>
      <c r="B64" t="str">
        <f t="shared" si="0"/>
        <v>2024_11_19</v>
      </c>
      <c r="C64" t="s">
        <v>222</v>
      </c>
      <c r="D64" s="3" t="s">
        <v>41</v>
      </c>
      <c r="F64" t="s">
        <v>25</v>
      </c>
      <c r="G64" t="s">
        <v>26</v>
      </c>
      <c r="H64" t="s">
        <v>33</v>
      </c>
      <c r="I64" t="s">
        <v>28</v>
      </c>
      <c r="J64" t="s">
        <v>29</v>
      </c>
      <c r="K64" t="s">
        <v>35</v>
      </c>
      <c r="L64" t="s">
        <v>428</v>
      </c>
      <c r="M64" t="s">
        <v>29</v>
      </c>
      <c r="N64" t="s">
        <v>30</v>
      </c>
      <c r="O64">
        <v>24</v>
      </c>
      <c r="P64">
        <v>30</v>
      </c>
      <c r="Q64">
        <v>22</v>
      </c>
      <c r="R64" t="s">
        <v>44</v>
      </c>
      <c r="S64" t="s">
        <v>46</v>
      </c>
      <c r="T64" s="2" t="s">
        <v>96</v>
      </c>
      <c r="U64" t="str">
        <f t="shared" si="1"/>
        <v>C:\Users\jordant\PycharmProjects\LCMS_RiPP\output_data_flasks\TJ-C-560_TJ-C-677_unique_sample_63</v>
      </c>
      <c r="V64" s="5" t="s">
        <v>429</v>
      </c>
      <c r="W64">
        <v>209</v>
      </c>
      <c r="X64">
        <v>0</v>
      </c>
      <c r="Y64" s="5" t="s">
        <v>430</v>
      </c>
      <c r="Z64" t="s">
        <v>43</v>
      </c>
    </row>
    <row r="65" spans="1:26" x14ac:dyDescent="0.55000000000000004">
      <c r="A65" t="s">
        <v>286</v>
      </c>
      <c r="B65" t="str">
        <f t="shared" si="0"/>
        <v>2024_11_27</v>
      </c>
      <c r="C65" t="s">
        <v>222</v>
      </c>
      <c r="D65" s="3" t="s">
        <v>41</v>
      </c>
      <c r="F65" t="s">
        <v>25</v>
      </c>
      <c r="G65" t="s">
        <v>26</v>
      </c>
      <c r="H65" t="s">
        <v>33</v>
      </c>
      <c r="I65" t="s">
        <v>28</v>
      </c>
      <c r="J65" t="s">
        <v>29</v>
      </c>
      <c r="K65" t="s">
        <v>35</v>
      </c>
      <c r="L65" t="s">
        <v>428</v>
      </c>
      <c r="M65" t="s">
        <v>29</v>
      </c>
      <c r="N65" t="s">
        <v>30</v>
      </c>
      <c r="O65">
        <v>24</v>
      </c>
      <c r="P65">
        <v>30</v>
      </c>
      <c r="Q65">
        <v>22</v>
      </c>
      <c r="R65" t="s">
        <v>44</v>
      </c>
      <c r="S65" t="s">
        <v>46</v>
      </c>
      <c r="T65" s="2" t="s">
        <v>111</v>
      </c>
      <c r="U65" t="str">
        <f t="shared" si="1"/>
        <v>C:\Users\jordant\PycharmProjects\LCMS_RiPP\output_data_flasks\TJ-C-560_TJ-C-677_unique_sample_64</v>
      </c>
      <c r="V65" s="5" t="s">
        <v>429</v>
      </c>
      <c r="W65">
        <v>209</v>
      </c>
      <c r="X65">
        <v>0</v>
      </c>
      <c r="Y65" s="5" t="s">
        <v>430</v>
      </c>
      <c r="Z65" t="s">
        <v>43</v>
      </c>
    </row>
    <row r="66" spans="1:26" x14ac:dyDescent="0.55000000000000004">
      <c r="A66" t="s">
        <v>287</v>
      </c>
      <c r="B66" t="str">
        <f t="shared" si="0"/>
        <v>2024_11_27</v>
      </c>
      <c r="C66" t="s">
        <v>222</v>
      </c>
      <c r="D66" s="3" t="s">
        <v>41</v>
      </c>
      <c r="F66" t="s">
        <v>25</v>
      </c>
      <c r="G66" t="s">
        <v>26</v>
      </c>
      <c r="H66" t="s">
        <v>33</v>
      </c>
      <c r="I66" t="s">
        <v>28</v>
      </c>
      <c r="J66" t="s">
        <v>29</v>
      </c>
      <c r="K66" t="s">
        <v>35</v>
      </c>
      <c r="L66" t="s">
        <v>428</v>
      </c>
      <c r="M66" t="s">
        <v>29</v>
      </c>
      <c r="N66" t="s">
        <v>30</v>
      </c>
      <c r="O66">
        <v>30</v>
      </c>
      <c r="P66">
        <v>30</v>
      </c>
      <c r="Q66">
        <v>22</v>
      </c>
      <c r="R66" t="s">
        <v>44</v>
      </c>
      <c r="S66" t="s">
        <v>46</v>
      </c>
      <c r="T66" s="2" t="s">
        <v>112</v>
      </c>
      <c r="U66" t="str">
        <f t="shared" si="1"/>
        <v>C:\Users\jordant\PycharmProjects\LCMS_RiPP\output_data_flasks\TJ-C-560_TJ-C-677_unique_sample_65</v>
      </c>
      <c r="V66" s="5" t="s">
        <v>429</v>
      </c>
      <c r="W66">
        <v>209</v>
      </c>
      <c r="X66">
        <v>0</v>
      </c>
      <c r="Y66" s="5" t="s">
        <v>430</v>
      </c>
      <c r="Z66" t="s">
        <v>43</v>
      </c>
    </row>
    <row r="67" spans="1:26" x14ac:dyDescent="0.55000000000000004">
      <c r="A67" t="s">
        <v>288</v>
      </c>
      <c r="B67" t="str">
        <f t="shared" ref="B67:B130" si="2">LEFT(T67,10)</f>
        <v>2024_11_19</v>
      </c>
      <c r="C67" t="s">
        <v>222</v>
      </c>
      <c r="D67" s="3" t="s">
        <v>41</v>
      </c>
      <c r="F67" t="s">
        <v>25</v>
      </c>
      <c r="G67" t="s">
        <v>26</v>
      </c>
      <c r="H67" t="s">
        <v>33</v>
      </c>
      <c r="I67" t="s">
        <v>28</v>
      </c>
      <c r="J67" t="s">
        <v>29</v>
      </c>
      <c r="K67" t="s">
        <v>211</v>
      </c>
      <c r="L67" t="s">
        <v>431</v>
      </c>
      <c r="M67" t="s">
        <v>29</v>
      </c>
      <c r="N67" t="s">
        <v>30</v>
      </c>
      <c r="O67">
        <v>24</v>
      </c>
      <c r="P67">
        <v>30</v>
      </c>
      <c r="Q67">
        <v>22</v>
      </c>
      <c r="R67" t="s">
        <v>44</v>
      </c>
      <c r="S67" t="s">
        <v>46</v>
      </c>
      <c r="T67" s="2" t="s">
        <v>97</v>
      </c>
      <c r="U67" t="str">
        <f t="shared" ref="U67:U130" si="3">_xlfn.CONCAT("C:\Users\jordant\PycharmProjects\LCMS_RiPP\output_data_flasks","\",H67,"_",K67,"_",A67)</f>
        <v>C:\Users\jordant\PycharmProjects\LCMS_RiPP\output_data_flasks\TJ-C-560_TJ-C-678_unique_sample_66</v>
      </c>
      <c r="V67" s="5" t="s">
        <v>433</v>
      </c>
      <c r="W67">
        <v>189</v>
      </c>
      <c r="X67">
        <v>0</v>
      </c>
      <c r="Y67" s="5" t="s">
        <v>434</v>
      </c>
      <c r="Z67" t="s">
        <v>43</v>
      </c>
    </row>
    <row r="68" spans="1:26" x14ac:dyDescent="0.55000000000000004">
      <c r="A68" t="s">
        <v>289</v>
      </c>
      <c r="B68" t="str">
        <f t="shared" si="2"/>
        <v>2024_11_19</v>
      </c>
      <c r="C68" t="s">
        <v>222</v>
      </c>
      <c r="D68" s="3" t="s">
        <v>41</v>
      </c>
      <c r="F68" t="s">
        <v>25</v>
      </c>
      <c r="G68" t="s">
        <v>26</v>
      </c>
      <c r="H68" t="s">
        <v>33</v>
      </c>
      <c r="I68" t="s">
        <v>28</v>
      </c>
      <c r="J68" t="s">
        <v>29</v>
      </c>
      <c r="K68" t="s">
        <v>212</v>
      </c>
      <c r="L68" t="s">
        <v>432</v>
      </c>
      <c r="M68" t="s">
        <v>29</v>
      </c>
      <c r="N68" t="s">
        <v>30</v>
      </c>
      <c r="O68">
        <v>24</v>
      </c>
      <c r="P68">
        <v>30</v>
      </c>
      <c r="Q68">
        <v>22</v>
      </c>
      <c r="R68" t="s">
        <v>44</v>
      </c>
      <c r="S68" t="s">
        <v>46</v>
      </c>
      <c r="T68" s="2" t="s">
        <v>98</v>
      </c>
      <c r="U68" t="str">
        <f t="shared" si="3"/>
        <v>C:\Users\jordant\PycharmProjects\LCMS_RiPP\output_data_flasks\TJ-C-560_TJ-C-679_unique_sample_67</v>
      </c>
      <c r="V68" s="5" t="s">
        <v>435</v>
      </c>
      <c r="W68">
        <v>183</v>
      </c>
      <c r="X68">
        <v>0</v>
      </c>
      <c r="Y68" s="5" t="s">
        <v>436</v>
      </c>
      <c r="Z68" t="s">
        <v>43</v>
      </c>
    </row>
    <row r="69" spans="1:26" x14ac:dyDescent="0.55000000000000004">
      <c r="A69" t="s">
        <v>290</v>
      </c>
      <c r="B69" t="str">
        <f t="shared" si="2"/>
        <v>2024_11_27</v>
      </c>
      <c r="C69" t="s">
        <v>222</v>
      </c>
      <c r="D69" s="3" t="s">
        <v>41</v>
      </c>
      <c r="F69" t="s">
        <v>25</v>
      </c>
      <c r="G69" t="s">
        <v>26</v>
      </c>
      <c r="H69" t="s">
        <v>33</v>
      </c>
      <c r="I69" t="s">
        <v>28</v>
      </c>
      <c r="J69" t="s">
        <v>29</v>
      </c>
      <c r="K69" t="s">
        <v>212</v>
      </c>
      <c r="L69" t="s">
        <v>432</v>
      </c>
      <c r="M69" t="s">
        <v>29</v>
      </c>
      <c r="N69" t="s">
        <v>30</v>
      </c>
      <c r="O69">
        <v>24</v>
      </c>
      <c r="P69">
        <v>30</v>
      </c>
      <c r="Q69">
        <v>22</v>
      </c>
      <c r="R69" t="s">
        <v>44</v>
      </c>
      <c r="S69" t="s">
        <v>46</v>
      </c>
      <c r="T69" s="2" t="s">
        <v>113</v>
      </c>
      <c r="U69" t="str">
        <f t="shared" si="3"/>
        <v>C:\Users\jordant\PycharmProjects\LCMS_RiPP\output_data_flasks\TJ-C-560_TJ-C-679_unique_sample_68</v>
      </c>
      <c r="V69" s="5" t="s">
        <v>435</v>
      </c>
      <c r="W69">
        <v>183</v>
      </c>
      <c r="X69">
        <v>0</v>
      </c>
      <c r="Y69" s="5" t="s">
        <v>436</v>
      </c>
      <c r="Z69" t="s">
        <v>43</v>
      </c>
    </row>
    <row r="70" spans="1:26" x14ac:dyDescent="0.55000000000000004">
      <c r="A70" t="s">
        <v>291</v>
      </c>
      <c r="B70" t="str">
        <f t="shared" si="2"/>
        <v>2024_11_27</v>
      </c>
      <c r="C70" t="s">
        <v>222</v>
      </c>
      <c r="D70" s="3" t="s">
        <v>41</v>
      </c>
      <c r="F70" t="s">
        <v>25</v>
      </c>
      <c r="G70" t="s">
        <v>26</v>
      </c>
      <c r="H70" t="s">
        <v>33</v>
      </c>
      <c r="I70" t="s">
        <v>28</v>
      </c>
      <c r="J70" t="s">
        <v>29</v>
      </c>
      <c r="K70" t="s">
        <v>212</v>
      </c>
      <c r="L70" t="s">
        <v>432</v>
      </c>
      <c r="M70" t="s">
        <v>29</v>
      </c>
      <c r="N70" t="s">
        <v>30</v>
      </c>
      <c r="O70">
        <v>30</v>
      </c>
      <c r="P70">
        <v>30</v>
      </c>
      <c r="Q70">
        <v>22</v>
      </c>
      <c r="R70" t="s">
        <v>44</v>
      </c>
      <c r="S70" t="s">
        <v>46</v>
      </c>
      <c r="T70" s="2" t="s">
        <v>114</v>
      </c>
      <c r="U70" t="str">
        <f t="shared" si="3"/>
        <v>C:\Users\jordant\PycharmProjects\LCMS_RiPP\output_data_flasks\TJ-C-560_TJ-C-679_unique_sample_69</v>
      </c>
      <c r="V70" s="5" t="s">
        <v>435</v>
      </c>
      <c r="W70">
        <v>183</v>
      </c>
      <c r="X70">
        <v>0</v>
      </c>
      <c r="Y70" s="5" t="s">
        <v>436</v>
      </c>
      <c r="Z70" t="s">
        <v>43</v>
      </c>
    </row>
    <row r="71" spans="1:26" x14ac:dyDescent="0.55000000000000004">
      <c r="A71" t="s">
        <v>292</v>
      </c>
      <c r="B71" t="str">
        <f t="shared" si="2"/>
        <v>2025_01_23</v>
      </c>
      <c r="C71" t="s">
        <v>222</v>
      </c>
      <c r="D71" s="3" t="s">
        <v>41</v>
      </c>
      <c r="F71" t="s">
        <v>25</v>
      </c>
      <c r="G71" t="s">
        <v>26</v>
      </c>
      <c r="H71" t="s">
        <v>27</v>
      </c>
      <c r="I71" t="s">
        <v>28</v>
      </c>
      <c r="J71" t="s">
        <v>29</v>
      </c>
      <c r="K71" t="s">
        <v>212</v>
      </c>
      <c r="L71" t="s">
        <v>432</v>
      </c>
      <c r="M71" t="s">
        <v>29</v>
      </c>
      <c r="N71" t="s">
        <v>30</v>
      </c>
      <c r="O71">
        <v>24</v>
      </c>
      <c r="P71">
        <v>30</v>
      </c>
      <c r="Q71">
        <v>22</v>
      </c>
      <c r="R71" t="s">
        <v>44</v>
      </c>
      <c r="S71" t="s">
        <v>46</v>
      </c>
      <c r="T71" s="2" t="s">
        <v>136</v>
      </c>
      <c r="U71" t="str">
        <f t="shared" si="3"/>
        <v>C:\Users\jordant\PycharmProjects\LCMS_RiPP\output_data_flasks\TJ-C-689_TJ-C-679_unique_sample_70</v>
      </c>
      <c r="V71" s="5" t="s">
        <v>435</v>
      </c>
      <c r="W71">
        <v>183</v>
      </c>
      <c r="X71">
        <v>0</v>
      </c>
      <c r="Y71" s="5" t="s">
        <v>436</v>
      </c>
      <c r="Z71" t="s">
        <v>43</v>
      </c>
    </row>
    <row r="72" spans="1:26" x14ac:dyDescent="0.55000000000000004">
      <c r="A72" t="s">
        <v>293</v>
      </c>
      <c r="B72" t="str">
        <f t="shared" si="2"/>
        <v>2024_11_30</v>
      </c>
      <c r="C72" t="s">
        <v>222</v>
      </c>
      <c r="D72" s="3" t="s">
        <v>41</v>
      </c>
      <c r="F72" t="s">
        <v>25</v>
      </c>
      <c r="G72" t="s">
        <v>26</v>
      </c>
      <c r="H72" t="s">
        <v>31</v>
      </c>
      <c r="I72" t="s">
        <v>32</v>
      </c>
      <c r="J72" t="s">
        <v>29</v>
      </c>
      <c r="K72" t="s">
        <v>182</v>
      </c>
      <c r="L72" t="s">
        <v>437</v>
      </c>
      <c r="M72" t="s">
        <v>29</v>
      </c>
      <c r="N72" t="s">
        <v>30</v>
      </c>
      <c r="O72">
        <v>24</v>
      </c>
      <c r="P72">
        <v>30</v>
      </c>
      <c r="Q72">
        <v>22</v>
      </c>
      <c r="R72" t="s">
        <v>44</v>
      </c>
      <c r="S72" t="s">
        <v>46</v>
      </c>
      <c r="T72" s="2" t="s">
        <v>115</v>
      </c>
      <c r="U72" t="str">
        <f t="shared" si="3"/>
        <v>C:\Users\jordant\PycharmProjects\LCMS_RiPP\output_data_flasks\TJ-C-559_TJ-C-697_unique_sample_71</v>
      </c>
      <c r="V72" s="5" t="s">
        <v>438</v>
      </c>
      <c r="W72">
        <v>179</v>
      </c>
      <c r="X72">
        <v>0</v>
      </c>
      <c r="Y72" s="5" t="s">
        <v>441</v>
      </c>
      <c r="Z72" t="s">
        <v>43</v>
      </c>
    </row>
    <row r="73" spans="1:26" x14ac:dyDescent="0.55000000000000004">
      <c r="A73" t="s">
        <v>294</v>
      </c>
      <c r="B73" t="str">
        <f t="shared" si="2"/>
        <v>2024_11_30</v>
      </c>
      <c r="C73" t="s">
        <v>222</v>
      </c>
      <c r="D73" s="3" t="s">
        <v>41</v>
      </c>
      <c r="F73" t="s">
        <v>25</v>
      </c>
      <c r="G73" t="s">
        <v>26</v>
      </c>
      <c r="H73" t="s">
        <v>31</v>
      </c>
      <c r="I73" t="s">
        <v>32</v>
      </c>
      <c r="J73" t="s">
        <v>29</v>
      </c>
      <c r="K73" t="s">
        <v>182</v>
      </c>
      <c r="L73" t="s">
        <v>437</v>
      </c>
      <c r="M73" t="s">
        <v>29</v>
      </c>
      <c r="N73" t="s">
        <v>30</v>
      </c>
      <c r="O73">
        <v>24</v>
      </c>
      <c r="P73">
        <v>30</v>
      </c>
      <c r="Q73">
        <v>22</v>
      </c>
      <c r="R73" t="s">
        <v>44</v>
      </c>
      <c r="S73" t="s">
        <v>46</v>
      </c>
      <c r="T73" t="s">
        <v>123</v>
      </c>
      <c r="U73" t="str">
        <f t="shared" si="3"/>
        <v>C:\Users\jordant\PycharmProjects\LCMS_RiPP\output_data_flasks\TJ-C-559_TJ-C-697_unique_sample_72</v>
      </c>
      <c r="V73" s="5" t="s">
        <v>438</v>
      </c>
      <c r="W73">
        <v>179</v>
      </c>
      <c r="X73">
        <v>0</v>
      </c>
      <c r="Y73" s="5" t="s">
        <v>441</v>
      </c>
      <c r="Z73" t="s">
        <v>43</v>
      </c>
    </row>
    <row r="74" spans="1:26" x14ac:dyDescent="0.55000000000000004">
      <c r="A74" t="s">
        <v>295</v>
      </c>
      <c r="B74" t="str">
        <f t="shared" si="2"/>
        <v>2024_11_30</v>
      </c>
      <c r="C74" t="s">
        <v>222</v>
      </c>
      <c r="D74" s="3" t="s">
        <v>41</v>
      </c>
      <c r="F74" t="s">
        <v>25</v>
      </c>
      <c r="G74" t="s">
        <v>26</v>
      </c>
      <c r="H74" t="s">
        <v>31</v>
      </c>
      <c r="I74" t="s">
        <v>32</v>
      </c>
      <c r="J74" t="s">
        <v>29</v>
      </c>
      <c r="K74" t="s">
        <v>183</v>
      </c>
      <c r="L74" t="s">
        <v>439</v>
      </c>
      <c r="M74" t="s">
        <v>29</v>
      </c>
      <c r="N74" t="s">
        <v>30</v>
      </c>
      <c r="O74">
        <v>24</v>
      </c>
      <c r="P74">
        <v>30</v>
      </c>
      <c r="Q74">
        <v>22</v>
      </c>
      <c r="R74" t="s">
        <v>44</v>
      </c>
      <c r="S74" t="s">
        <v>46</v>
      </c>
      <c r="T74" s="2" t="s">
        <v>116</v>
      </c>
      <c r="U74" t="str">
        <f t="shared" si="3"/>
        <v>C:\Users\jordant\PycharmProjects\LCMS_RiPP\output_data_flasks\TJ-C-559_TJ-C-698_unique_sample_73</v>
      </c>
      <c r="V74" s="5" t="s">
        <v>440</v>
      </c>
      <c r="W74">
        <v>179</v>
      </c>
      <c r="X74">
        <v>0</v>
      </c>
      <c r="Y74" s="5" t="s">
        <v>442</v>
      </c>
      <c r="Z74" t="s">
        <v>43</v>
      </c>
    </row>
    <row r="75" spans="1:26" x14ac:dyDescent="0.55000000000000004">
      <c r="A75" t="s">
        <v>296</v>
      </c>
      <c r="B75" t="str">
        <f t="shared" si="2"/>
        <v>2024_11_30</v>
      </c>
      <c r="C75" t="s">
        <v>222</v>
      </c>
      <c r="D75" s="3" t="s">
        <v>41</v>
      </c>
      <c r="F75" t="s">
        <v>25</v>
      </c>
      <c r="G75" t="s">
        <v>26</v>
      </c>
      <c r="H75" t="s">
        <v>31</v>
      </c>
      <c r="I75" t="s">
        <v>32</v>
      </c>
      <c r="J75" t="s">
        <v>29</v>
      </c>
      <c r="K75" t="s">
        <v>183</v>
      </c>
      <c r="L75" t="s">
        <v>439</v>
      </c>
      <c r="M75" t="s">
        <v>29</v>
      </c>
      <c r="N75" t="s">
        <v>30</v>
      </c>
      <c r="O75">
        <v>24</v>
      </c>
      <c r="P75">
        <v>30</v>
      </c>
      <c r="Q75">
        <v>22</v>
      </c>
      <c r="R75" t="s">
        <v>44</v>
      </c>
      <c r="S75" t="s">
        <v>46</v>
      </c>
      <c r="T75" t="s">
        <v>124</v>
      </c>
      <c r="U75" t="str">
        <f t="shared" si="3"/>
        <v>C:\Users\jordant\PycharmProjects\LCMS_RiPP\output_data_flasks\TJ-C-559_TJ-C-698_unique_sample_74</v>
      </c>
      <c r="V75" s="5" t="s">
        <v>440</v>
      </c>
      <c r="W75">
        <v>179</v>
      </c>
      <c r="X75">
        <v>0</v>
      </c>
      <c r="Y75" s="5" t="s">
        <v>442</v>
      </c>
      <c r="Z75" t="s">
        <v>43</v>
      </c>
    </row>
    <row r="76" spans="1:26" x14ac:dyDescent="0.55000000000000004">
      <c r="A76" t="s">
        <v>297</v>
      </c>
      <c r="B76" t="str">
        <f t="shared" si="2"/>
        <v>2024_11_30</v>
      </c>
      <c r="C76" t="s">
        <v>222</v>
      </c>
      <c r="D76" s="3" t="s">
        <v>41</v>
      </c>
      <c r="F76" t="s">
        <v>25</v>
      </c>
      <c r="G76" t="s">
        <v>26</v>
      </c>
      <c r="H76" t="s">
        <v>31</v>
      </c>
      <c r="I76" t="s">
        <v>32</v>
      </c>
      <c r="J76" t="s">
        <v>29</v>
      </c>
      <c r="K76" t="s">
        <v>184</v>
      </c>
      <c r="L76" t="s">
        <v>443</v>
      </c>
      <c r="M76" t="s">
        <v>29</v>
      </c>
      <c r="N76" t="s">
        <v>30</v>
      </c>
      <c r="O76">
        <v>24</v>
      </c>
      <c r="P76">
        <v>30</v>
      </c>
      <c r="Q76">
        <v>22</v>
      </c>
      <c r="R76" t="s">
        <v>44</v>
      </c>
      <c r="S76" t="s">
        <v>46</v>
      </c>
      <c r="T76" s="2" t="s">
        <v>117</v>
      </c>
      <c r="U76" t="str">
        <f t="shared" si="3"/>
        <v>C:\Users\jordant\PycharmProjects\LCMS_RiPP\output_data_flasks\TJ-C-559_TJ-C-699_unique_sample_75</v>
      </c>
      <c r="V76" s="5" t="s">
        <v>444</v>
      </c>
      <c r="W76">
        <v>179</v>
      </c>
      <c r="X76">
        <v>0</v>
      </c>
      <c r="Y76" s="5" t="s">
        <v>445</v>
      </c>
      <c r="Z76" t="s">
        <v>43</v>
      </c>
    </row>
    <row r="77" spans="1:26" x14ac:dyDescent="0.55000000000000004">
      <c r="A77" t="s">
        <v>298</v>
      </c>
      <c r="B77" t="str">
        <f t="shared" si="2"/>
        <v>2024_11_30</v>
      </c>
      <c r="C77" t="s">
        <v>222</v>
      </c>
      <c r="D77" s="3" t="s">
        <v>41</v>
      </c>
      <c r="F77" t="s">
        <v>25</v>
      </c>
      <c r="G77" t="s">
        <v>26</v>
      </c>
      <c r="H77" t="s">
        <v>31</v>
      </c>
      <c r="I77" t="s">
        <v>32</v>
      </c>
      <c r="J77" t="s">
        <v>29</v>
      </c>
      <c r="K77" t="s">
        <v>184</v>
      </c>
      <c r="L77" t="s">
        <v>443</v>
      </c>
      <c r="M77" t="s">
        <v>29</v>
      </c>
      <c r="N77" t="s">
        <v>30</v>
      </c>
      <c r="O77">
        <v>24</v>
      </c>
      <c r="P77">
        <v>30</v>
      </c>
      <c r="Q77">
        <v>22</v>
      </c>
      <c r="R77" t="s">
        <v>44</v>
      </c>
      <c r="S77" t="s">
        <v>46</v>
      </c>
      <c r="T77" t="s">
        <v>125</v>
      </c>
      <c r="U77" t="str">
        <f t="shared" si="3"/>
        <v>C:\Users\jordant\PycharmProjects\LCMS_RiPP\output_data_flasks\TJ-C-559_TJ-C-699_unique_sample_76</v>
      </c>
      <c r="V77" s="5" t="s">
        <v>444</v>
      </c>
      <c r="W77">
        <v>179</v>
      </c>
      <c r="X77">
        <v>0</v>
      </c>
      <c r="Y77" s="5" t="s">
        <v>445</v>
      </c>
      <c r="Z77" t="s">
        <v>43</v>
      </c>
    </row>
    <row r="78" spans="1:26" x14ac:dyDescent="0.55000000000000004">
      <c r="A78" t="s">
        <v>299</v>
      </c>
      <c r="B78" t="str">
        <f t="shared" si="2"/>
        <v>2024_11_30</v>
      </c>
      <c r="C78" t="s">
        <v>222</v>
      </c>
      <c r="D78" s="3" t="s">
        <v>41</v>
      </c>
      <c r="F78" t="s">
        <v>25</v>
      </c>
      <c r="G78" t="s">
        <v>26</v>
      </c>
      <c r="H78" t="s">
        <v>31</v>
      </c>
      <c r="I78" t="s">
        <v>32</v>
      </c>
      <c r="J78" t="s">
        <v>29</v>
      </c>
      <c r="K78" t="s">
        <v>185</v>
      </c>
      <c r="L78" t="s">
        <v>446</v>
      </c>
      <c r="M78" t="s">
        <v>29</v>
      </c>
      <c r="N78" t="s">
        <v>30</v>
      </c>
      <c r="O78">
        <v>24</v>
      </c>
      <c r="P78">
        <v>30</v>
      </c>
      <c r="Q78">
        <v>22</v>
      </c>
      <c r="R78" t="s">
        <v>44</v>
      </c>
      <c r="S78" t="s">
        <v>46</v>
      </c>
      <c r="T78" s="2" t="s">
        <v>118</v>
      </c>
      <c r="U78" t="str">
        <f t="shared" si="3"/>
        <v>C:\Users\jordant\PycharmProjects\LCMS_RiPP\output_data_flasks\TJ-C-559_TJ-C-700_unique_sample_77</v>
      </c>
      <c r="V78" s="5" t="s">
        <v>447</v>
      </c>
      <c r="W78">
        <v>179</v>
      </c>
      <c r="X78">
        <v>0</v>
      </c>
      <c r="Y78" s="5" t="s">
        <v>448</v>
      </c>
      <c r="Z78" t="s">
        <v>43</v>
      </c>
    </row>
    <row r="79" spans="1:26" x14ac:dyDescent="0.55000000000000004">
      <c r="A79" t="s">
        <v>300</v>
      </c>
      <c r="B79" t="str">
        <f t="shared" si="2"/>
        <v>2024_11_30</v>
      </c>
      <c r="C79" t="s">
        <v>222</v>
      </c>
      <c r="D79" s="3" t="s">
        <v>41</v>
      </c>
      <c r="F79" t="s">
        <v>25</v>
      </c>
      <c r="G79" t="s">
        <v>26</v>
      </c>
      <c r="H79" t="s">
        <v>31</v>
      </c>
      <c r="I79" t="s">
        <v>32</v>
      </c>
      <c r="J79" t="s">
        <v>29</v>
      </c>
      <c r="K79" t="s">
        <v>185</v>
      </c>
      <c r="L79" t="s">
        <v>446</v>
      </c>
      <c r="M79" t="s">
        <v>29</v>
      </c>
      <c r="N79" t="s">
        <v>30</v>
      </c>
      <c r="O79">
        <v>24</v>
      </c>
      <c r="P79">
        <v>30</v>
      </c>
      <c r="Q79">
        <v>22</v>
      </c>
      <c r="R79" t="s">
        <v>44</v>
      </c>
      <c r="S79" t="s">
        <v>46</v>
      </c>
      <c r="T79" s="2" t="s">
        <v>126</v>
      </c>
      <c r="U79" t="str">
        <f t="shared" si="3"/>
        <v>C:\Users\jordant\PycharmProjects\LCMS_RiPP\output_data_flasks\TJ-C-559_TJ-C-700_unique_sample_78</v>
      </c>
      <c r="V79" s="5" t="s">
        <v>447</v>
      </c>
      <c r="W79">
        <v>179</v>
      </c>
      <c r="X79">
        <v>0</v>
      </c>
      <c r="Y79" s="5" t="s">
        <v>448</v>
      </c>
      <c r="Z79" t="s">
        <v>43</v>
      </c>
    </row>
    <row r="80" spans="1:26" x14ac:dyDescent="0.55000000000000004">
      <c r="A80" t="s">
        <v>301</v>
      </c>
      <c r="B80" t="str">
        <f t="shared" si="2"/>
        <v>2024_11_30</v>
      </c>
      <c r="C80" t="s">
        <v>222</v>
      </c>
      <c r="D80" s="3" t="s">
        <v>41</v>
      </c>
      <c r="F80" t="s">
        <v>25</v>
      </c>
      <c r="G80" t="s">
        <v>26</v>
      </c>
      <c r="H80" t="s">
        <v>33</v>
      </c>
      <c r="I80" t="s">
        <v>28</v>
      </c>
      <c r="J80" t="s">
        <v>29</v>
      </c>
      <c r="K80" t="s">
        <v>178</v>
      </c>
      <c r="L80" t="s">
        <v>449</v>
      </c>
      <c r="M80" t="s">
        <v>29</v>
      </c>
      <c r="N80" t="s">
        <v>30</v>
      </c>
      <c r="O80">
        <v>24</v>
      </c>
      <c r="P80">
        <v>30</v>
      </c>
      <c r="Q80">
        <v>22</v>
      </c>
      <c r="R80" t="s">
        <v>44</v>
      </c>
      <c r="S80" t="s">
        <v>46</v>
      </c>
      <c r="T80" s="2" t="s">
        <v>121</v>
      </c>
      <c r="U80" t="str">
        <f t="shared" si="3"/>
        <v>C:\Users\jordant\PycharmProjects\LCMS_RiPP\output_data_flasks\TJ-C-560_TJ-C-693_unique_sample_79</v>
      </c>
      <c r="V80" s="5" t="s">
        <v>450</v>
      </c>
      <c r="W80">
        <v>183</v>
      </c>
      <c r="X80">
        <v>0</v>
      </c>
      <c r="Y80" s="5" t="s">
        <v>451</v>
      </c>
      <c r="Z80" t="s">
        <v>43</v>
      </c>
    </row>
    <row r="81" spans="1:26" x14ac:dyDescent="0.55000000000000004">
      <c r="A81" t="s">
        <v>302</v>
      </c>
      <c r="B81" t="str">
        <f t="shared" si="2"/>
        <v>2024_11_30</v>
      </c>
      <c r="C81" t="s">
        <v>222</v>
      </c>
      <c r="D81" s="3" t="s">
        <v>41</v>
      </c>
      <c r="F81" t="s">
        <v>25</v>
      </c>
      <c r="G81" t="s">
        <v>26</v>
      </c>
      <c r="H81" t="s">
        <v>33</v>
      </c>
      <c r="I81" t="s">
        <v>28</v>
      </c>
      <c r="J81" t="s">
        <v>29</v>
      </c>
      <c r="K81" t="s">
        <v>178</v>
      </c>
      <c r="L81" t="s">
        <v>449</v>
      </c>
      <c r="M81" t="s">
        <v>29</v>
      </c>
      <c r="N81" t="s">
        <v>30</v>
      </c>
      <c r="O81">
        <v>24</v>
      </c>
      <c r="P81">
        <v>30</v>
      </c>
      <c r="Q81">
        <v>22</v>
      </c>
      <c r="R81" t="s">
        <v>44</v>
      </c>
      <c r="S81" t="s">
        <v>46</v>
      </c>
      <c r="T81" t="s">
        <v>127</v>
      </c>
      <c r="U81" t="str">
        <f t="shared" si="3"/>
        <v>C:\Users\jordant\PycharmProjects\LCMS_RiPP\output_data_flasks\TJ-C-560_TJ-C-693_unique_sample_80</v>
      </c>
      <c r="V81" s="5" t="s">
        <v>450</v>
      </c>
      <c r="W81">
        <v>183</v>
      </c>
      <c r="X81">
        <v>0</v>
      </c>
      <c r="Y81" s="5" t="s">
        <v>451</v>
      </c>
      <c r="Z81" t="s">
        <v>43</v>
      </c>
    </row>
    <row r="82" spans="1:26" x14ac:dyDescent="0.55000000000000004">
      <c r="A82" t="s">
        <v>303</v>
      </c>
      <c r="B82" t="str">
        <f t="shared" si="2"/>
        <v>2024_11_30</v>
      </c>
      <c r="C82" t="s">
        <v>222</v>
      </c>
      <c r="D82" s="3" t="s">
        <v>41</v>
      </c>
      <c r="F82" t="s">
        <v>25</v>
      </c>
      <c r="G82" t="s">
        <v>26</v>
      </c>
      <c r="H82" t="s">
        <v>33</v>
      </c>
      <c r="I82" t="s">
        <v>28</v>
      </c>
      <c r="J82" t="s">
        <v>29</v>
      </c>
      <c r="K82" t="s">
        <v>179</v>
      </c>
      <c r="L82" t="s">
        <v>452</v>
      </c>
      <c r="M82" t="s">
        <v>29</v>
      </c>
      <c r="N82" t="s">
        <v>30</v>
      </c>
      <c r="O82">
        <v>24</v>
      </c>
      <c r="P82">
        <v>30</v>
      </c>
      <c r="Q82">
        <v>22</v>
      </c>
      <c r="R82" t="s">
        <v>44</v>
      </c>
      <c r="S82" t="s">
        <v>46</v>
      </c>
      <c r="T82" s="2" t="s">
        <v>120</v>
      </c>
      <c r="U82" t="str">
        <f t="shared" si="3"/>
        <v>C:\Users\jordant\PycharmProjects\LCMS_RiPP\output_data_flasks\TJ-C-560_TJ-C-694_unique_sample_81</v>
      </c>
      <c r="V82" s="5" t="s">
        <v>453</v>
      </c>
      <c r="W82">
        <v>183</v>
      </c>
      <c r="X82">
        <v>0</v>
      </c>
      <c r="Y82" s="5" t="s">
        <v>454</v>
      </c>
      <c r="Z82" t="s">
        <v>43</v>
      </c>
    </row>
    <row r="83" spans="1:26" x14ac:dyDescent="0.55000000000000004">
      <c r="A83" t="s">
        <v>304</v>
      </c>
      <c r="B83" t="str">
        <f t="shared" si="2"/>
        <v>2024_11_30</v>
      </c>
      <c r="C83" t="s">
        <v>222</v>
      </c>
      <c r="D83" s="3" t="s">
        <v>41</v>
      </c>
      <c r="F83" t="s">
        <v>25</v>
      </c>
      <c r="G83" t="s">
        <v>26</v>
      </c>
      <c r="H83" t="s">
        <v>33</v>
      </c>
      <c r="I83" t="s">
        <v>28</v>
      </c>
      <c r="J83" t="s">
        <v>29</v>
      </c>
      <c r="K83" t="s">
        <v>179</v>
      </c>
      <c r="L83" t="s">
        <v>452</v>
      </c>
      <c r="M83" t="s">
        <v>29</v>
      </c>
      <c r="N83" t="s">
        <v>30</v>
      </c>
      <c r="O83">
        <v>24</v>
      </c>
      <c r="P83">
        <v>30</v>
      </c>
      <c r="Q83">
        <v>22</v>
      </c>
      <c r="R83" t="s">
        <v>44</v>
      </c>
      <c r="S83" t="s">
        <v>46</v>
      </c>
      <c r="T83" s="2" t="s">
        <v>128</v>
      </c>
      <c r="U83" t="str">
        <f t="shared" si="3"/>
        <v>C:\Users\jordant\PycharmProjects\LCMS_RiPP\output_data_flasks\TJ-C-560_TJ-C-694_unique_sample_82</v>
      </c>
      <c r="V83" s="5" t="s">
        <v>453</v>
      </c>
      <c r="W83">
        <v>183</v>
      </c>
      <c r="X83">
        <v>0</v>
      </c>
      <c r="Y83" s="5" t="s">
        <v>454</v>
      </c>
      <c r="Z83" t="s">
        <v>43</v>
      </c>
    </row>
    <row r="84" spans="1:26" x14ac:dyDescent="0.55000000000000004">
      <c r="A84" t="s">
        <v>305</v>
      </c>
      <c r="B84" t="str">
        <f t="shared" si="2"/>
        <v>2024_11_30</v>
      </c>
      <c r="C84" t="s">
        <v>222</v>
      </c>
      <c r="D84" s="3" t="s">
        <v>41</v>
      </c>
      <c r="F84" t="s">
        <v>25</v>
      </c>
      <c r="G84" t="s">
        <v>26</v>
      </c>
      <c r="H84" t="s">
        <v>33</v>
      </c>
      <c r="I84" t="s">
        <v>28</v>
      </c>
      <c r="J84" t="s">
        <v>29</v>
      </c>
      <c r="K84" t="s">
        <v>180</v>
      </c>
      <c r="L84" t="s">
        <v>455</v>
      </c>
      <c r="M84" t="s">
        <v>29</v>
      </c>
      <c r="N84" t="s">
        <v>30</v>
      </c>
      <c r="O84">
        <v>24</v>
      </c>
      <c r="P84">
        <v>30</v>
      </c>
      <c r="Q84">
        <v>22</v>
      </c>
      <c r="R84" t="s">
        <v>44</v>
      </c>
      <c r="S84" t="s">
        <v>46</v>
      </c>
      <c r="T84" s="2" t="s">
        <v>119</v>
      </c>
      <c r="U84" t="str">
        <f t="shared" si="3"/>
        <v>C:\Users\jordant\PycharmProjects\LCMS_RiPP\output_data_flasks\TJ-C-560_TJ-C-695_unique_sample_83</v>
      </c>
      <c r="V84" s="5" t="s">
        <v>456</v>
      </c>
      <c r="W84">
        <v>183</v>
      </c>
      <c r="X84">
        <v>0</v>
      </c>
      <c r="Y84" s="5" t="s">
        <v>457</v>
      </c>
      <c r="Z84" t="s">
        <v>43</v>
      </c>
    </row>
    <row r="85" spans="1:26" x14ac:dyDescent="0.55000000000000004">
      <c r="A85" t="s">
        <v>306</v>
      </c>
      <c r="B85" t="str">
        <f t="shared" si="2"/>
        <v>2024_11_30</v>
      </c>
      <c r="C85" t="s">
        <v>222</v>
      </c>
      <c r="D85" s="3" t="s">
        <v>41</v>
      </c>
      <c r="F85" t="s">
        <v>25</v>
      </c>
      <c r="G85" t="s">
        <v>26</v>
      </c>
      <c r="H85" t="s">
        <v>33</v>
      </c>
      <c r="I85" t="s">
        <v>28</v>
      </c>
      <c r="J85" t="s">
        <v>29</v>
      </c>
      <c r="K85" t="s">
        <v>180</v>
      </c>
      <c r="L85" t="s">
        <v>455</v>
      </c>
      <c r="M85" t="s">
        <v>29</v>
      </c>
      <c r="N85" t="s">
        <v>30</v>
      </c>
      <c r="O85">
        <v>24</v>
      </c>
      <c r="P85">
        <v>30</v>
      </c>
      <c r="Q85">
        <v>22</v>
      </c>
      <c r="R85" t="s">
        <v>44</v>
      </c>
      <c r="S85" t="s">
        <v>46</v>
      </c>
      <c r="T85" s="2" t="s">
        <v>129</v>
      </c>
      <c r="U85" t="str">
        <f t="shared" si="3"/>
        <v>C:\Users\jordant\PycharmProjects\LCMS_RiPP\output_data_flasks\TJ-C-560_TJ-C-695_unique_sample_84</v>
      </c>
      <c r="V85" s="5" t="s">
        <v>456</v>
      </c>
      <c r="W85">
        <v>183</v>
      </c>
      <c r="X85">
        <v>0</v>
      </c>
      <c r="Y85" s="5" t="s">
        <v>457</v>
      </c>
      <c r="Z85" t="s">
        <v>43</v>
      </c>
    </row>
    <row r="86" spans="1:26" x14ac:dyDescent="0.55000000000000004">
      <c r="A86" t="s">
        <v>307</v>
      </c>
      <c r="B86" t="str">
        <f t="shared" si="2"/>
        <v>2024_11_30</v>
      </c>
      <c r="C86" t="s">
        <v>222</v>
      </c>
      <c r="D86" s="3" t="s">
        <v>41</v>
      </c>
      <c r="F86" t="s">
        <v>25</v>
      </c>
      <c r="G86" t="s">
        <v>26</v>
      </c>
      <c r="H86" t="s">
        <v>33</v>
      </c>
      <c r="I86" t="s">
        <v>28</v>
      </c>
      <c r="J86" t="s">
        <v>29</v>
      </c>
      <c r="K86" t="s">
        <v>181</v>
      </c>
      <c r="L86" t="s">
        <v>458</v>
      </c>
      <c r="M86" t="s">
        <v>29</v>
      </c>
      <c r="N86" t="s">
        <v>30</v>
      </c>
      <c r="O86">
        <v>24</v>
      </c>
      <c r="P86">
        <v>30</v>
      </c>
      <c r="Q86">
        <v>22</v>
      </c>
      <c r="R86" t="s">
        <v>44</v>
      </c>
      <c r="S86" t="s">
        <v>46</v>
      </c>
      <c r="T86" s="2" t="s">
        <v>122</v>
      </c>
      <c r="U86" t="str">
        <f t="shared" si="3"/>
        <v>C:\Users\jordant\PycharmProjects\LCMS_RiPP\output_data_flasks\TJ-C-560_TJ-C-696_unique_sample_85</v>
      </c>
      <c r="V86" s="5" t="s">
        <v>459</v>
      </c>
      <c r="W86">
        <v>183</v>
      </c>
      <c r="X86">
        <v>0</v>
      </c>
      <c r="Y86" s="5" t="s">
        <v>460</v>
      </c>
      <c r="Z86" t="s">
        <v>43</v>
      </c>
    </row>
    <row r="87" spans="1:26" x14ac:dyDescent="0.55000000000000004">
      <c r="A87" t="s">
        <v>308</v>
      </c>
      <c r="B87" t="str">
        <f t="shared" si="2"/>
        <v>2024_11_30</v>
      </c>
      <c r="C87" t="s">
        <v>222</v>
      </c>
      <c r="D87" s="3" t="s">
        <v>41</v>
      </c>
      <c r="F87" t="s">
        <v>25</v>
      </c>
      <c r="G87" t="s">
        <v>26</v>
      </c>
      <c r="H87" t="s">
        <v>33</v>
      </c>
      <c r="I87" t="s">
        <v>28</v>
      </c>
      <c r="J87" t="s">
        <v>29</v>
      </c>
      <c r="K87" t="s">
        <v>181</v>
      </c>
      <c r="L87" t="s">
        <v>458</v>
      </c>
      <c r="M87" t="s">
        <v>29</v>
      </c>
      <c r="N87" t="s">
        <v>30</v>
      </c>
      <c r="O87">
        <v>24</v>
      </c>
      <c r="P87">
        <v>30</v>
      </c>
      <c r="Q87">
        <v>22</v>
      </c>
      <c r="R87" t="s">
        <v>44</v>
      </c>
      <c r="S87" t="s">
        <v>46</v>
      </c>
      <c r="T87" s="2" t="s">
        <v>130</v>
      </c>
      <c r="U87" t="str">
        <f t="shared" si="3"/>
        <v>C:\Users\jordant\PycharmProjects\LCMS_RiPP\output_data_flasks\TJ-C-560_TJ-C-696_unique_sample_86</v>
      </c>
      <c r="V87" s="5" t="s">
        <v>459</v>
      </c>
      <c r="W87">
        <v>183</v>
      </c>
      <c r="X87">
        <v>0</v>
      </c>
      <c r="Y87" s="5" t="s">
        <v>460</v>
      </c>
      <c r="Z87" t="s">
        <v>43</v>
      </c>
    </row>
    <row r="88" spans="1:26" x14ac:dyDescent="0.55000000000000004">
      <c r="A88" t="s">
        <v>309</v>
      </c>
      <c r="B88" t="str">
        <f t="shared" si="2"/>
        <v>2025_01_23</v>
      </c>
      <c r="C88" t="s">
        <v>222</v>
      </c>
      <c r="D88" s="3" t="s">
        <v>41</v>
      </c>
      <c r="F88" t="s">
        <v>25</v>
      </c>
      <c r="G88" t="s">
        <v>26</v>
      </c>
      <c r="H88" t="s">
        <v>31</v>
      </c>
      <c r="I88" t="s">
        <v>32</v>
      </c>
      <c r="J88" t="s">
        <v>29</v>
      </c>
      <c r="K88" t="s">
        <v>40</v>
      </c>
      <c r="L88" t="s">
        <v>461</v>
      </c>
      <c r="M88" t="s">
        <v>29</v>
      </c>
      <c r="N88" t="s">
        <v>30</v>
      </c>
      <c r="O88">
        <v>24</v>
      </c>
      <c r="P88">
        <v>30</v>
      </c>
      <c r="Q88">
        <v>22</v>
      </c>
      <c r="R88" t="s">
        <v>44</v>
      </c>
      <c r="S88" t="s">
        <v>46</v>
      </c>
      <c r="T88" s="2" t="s">
        <v>131</v>
      </c>
      <c r="U88" t="str">
        <f t="shared" si="3"/>
        <v>C:\Users\jordant\PycharmProjects\LCMS_RiPP\output_data_flasks\TJ-C-559_TJ-C-710_unique_sample_87</v>
      </c>
      <c r="V88" s="5" t="s">
        <v>465</v>
      </c>
      <c r="W88">
        <v>205</v>
      </c>
      <c r="X88">
        <v>0</v>
      </c>
      <c r="Y88" s="5" t="s">
        <v>466</v>
      </c>
      <c r="Z88" t="s">
        <v>43</v>
      </c>
    </row>
    <row r="89" spans="1:26" x14ac:dyDescent="0.55000000000000004">
      <c r="A89" t="s">
        <v>310</v>
      </c>
      <c r="B89" t="str">
        <f t="shared" si="2"/>
        <v>2025_01_23</v>
      </c>
      <c r="C89" t="s">
        <v>222</v>
      </c>
      <c r="D89" s="3" t="s">
        <v>41</v>
      </c>
      <c r="F89" t="s">
        <v>25</v>
      </c>
      <c r="G89" t="s">
        <v>26</v>
      </c>
      <c r="H89" t="s">
        <v>31</v>
      </c>
      <c r="I89" t="s">
        <v>32</v>
      </c>
      <c r="J89" t="s">
        <v>29</v>
      </c>
      <c r="K89" t="s">
        <v>188</v>
      </c>
      <c r="L89" t="s">
        <v>462</v>
      </c>
      <c r="M89" t="s">
        <v>29</v>
      </c>
      <c r="N89" t="s">
        <v>30</v>
      </c>
      <c r="O89">
        <v>24</v>
      </c>
      <c r="P89">
        <v>30</v>
      </c>
      <c r="Q89">
        <v>22</v>
      </c>
      <c r="R89" t="s">
        <v>44</v>
      </c>
      <c r="S89" t="s">
        <v>46</v>
      </c>
      <c r="T89" s="2" t="s">
        <v>132</v>
      </c>
      <c r="U89" t="str">
        <f t="shared" si="3"/>
        <v>C:\Users\jordant\PycharmProjects\LCMS_RiPP\output_data_flasks\TJ-C-559_TJ-C-711_unique_sample_88</v>
      </c>
      <c r="V89" s="5" t="s">
        <v>467</v>
      </c>
      <c r="W89">
        <v>342</v>
      </c>
      <c r="X89">
        <v>0</v>
      </c>
      <c r="Y89" s="5" t="s">
        <v>468</v>
      </c>
      <c r="Z89" t="s">
        <v>43</v>
      </c>
    </row>
    <row r="90" spans="1:26" x14ac:dyDescent="0.55000000000000004">
      <c r="A90" t="s">
        <v>311</v>
      </c>
      <c r="B90" t="str">
        <f t="shared" si="2"/>
        <v>2025_01_23</v>
      </c>
      <c r="C90" t="s">
        <v>222</v>
      </c>
      <c r="D90" s="3" t="s">
        <v>41</v>
      </c>
      <c r="F90" t="s">
        <v>25</v>
      </c>
      <c r="G90" t="s">
        <v>26</v>
      </c>
      <c r="H90" t="s">
        <v>31</v>
      </c>
      <c r="I90" t="s">
        <v>32</v>
      </c>
      <c r="J90" t="s">
        <v>29</v>
      </c>
      <c r="K90" t="s">
        <v>189</v>
      </c>
      <c r="L90" t="s">
        <v>463</v>
      </c>
      <c r="M90" t="s">
        <v>29</v>
      </c>
      <c r="N90" t="s">
        <v>30</v>
      </c>
      <c r="O90">
        <v>24</v>
      </c>
      <c r="P90">
        <v>30</v>
      </c>
      <c r="Q90">
        <v>22</v>
      </c>
      <c r="R90" t="s">
        <v>44</v>
      </c>
      <c r="S90" t="s">
        <v>46</v>
      </c>
      <c r="T90" s="2" t="s">
        <v>133</v>
      </c>
      <c r="U90" t="str">
        <f t="shared" si="3"/>
        <v>C:\Users\jordant\PycharmProjects\LCMS_RiPP\output_data_flasks\TJ-C-559_TJ-C-712_unique_sample_89</v>
      </c>
      <c r="V90" s="5" t="s">
        <v>469</v>
      </c>
      <c r="W90">
        <v>484</v>
      </c>
      <c r="X90">
        <v>0</v>
      </c>
      <c r="Y90" s="5" t="s">
        <v>470</v>
      </c>
      <c r="Z90" t="s">
        <v>43</v>
      </c>
    </row>
    <row r="91" spans="1:26" x14ac:dyDescent="0.55000000000000004">
      <c r="A91" t="s">
        <v>312</v>
      </c>
      <c r="B91" t="str">
        <f t="shared" si="2"/>
        <v>2025_01_23</v>
      </c>
      <c r="C91" t="s">
        <v>222</v>
      </c>
      <c r="D91" s="3" t="s">
        <v>41</v>
      </c>
      <c r="F91" t="s">
        <v>25</v>
      </c>
      <c r="G91" t="s">
        <v>26</v>
      </c>
      <c r="H91" t="s">
        <v>31</v>
      </c>
      <c r="I91" t="s">
        <v>32</v>
      </c>
      <c r="J91" t="s">
        <v>29</v>
      </c>
      <c r="K91" t="s">
        <v>190</v>
      </c>
      <c r="L91" t="s">
        <v>464</v>
      </c>
      <c r="M91" t="s">
        <v>29</v>
      </c>
      <c r="N91" t="s">
        <v>30</v>
      </c>
      <c r="O91">
        <v>24</v>
      </c>
      <c r="P91">
        <v>30</v>
      </c>
      <c r="Q91">
        <v>22</v>
      </c>
      <c r="R91" t="s">
        <v>44</v>
      </c>
      <c r="S91" t="s">
        <v>46</v>
      </c>
      <c r="T91" s="2" t="s">
        <v>134</v>
      </c>
      <c r="U91" t="str">
        <f t="shared" si="3"/>
        <v>C:\Users\jordant\PycharmProjects\LCMS_RiPP\output_data_flasks\TJ-C-559_TJ-C-713_unique_sample_90</v>
      </c>
      <c r="V91" s="5" t="s">
        <v>471</v>
      </c>
      <c r="W91">
        <v>400</v>
      </c>
      <c r="X91">
        <v>0</v>
      </c>
      <c r="Y91" s="5" t="s">
        <v>472</v>
      </c>
      <c r="Z91" t="s">
        <v>43</v>
      </c>
    </row>
    <row r="92" spans="1:26" ht="16.8" customHeight="1" x14ac:dyDescent="0.55000000000000004">
      <c r="A92" t="s">
        <v>313</v>
      </c>
      <c r="B92" t="str">
        <f t="shared" si="2"/>
        <v>2025_01_23</v>
      </c>
      <c r="C92" t="s">
        <v>222</v>
      </c>
      <c r="D92" s="3" t="s">
        <v>41</v>
      </c>
      <c r="F92" t="s">
        <v>25</v>
      </c>
      <c r="G92" t="s">
        <v>26</v>
      </c>
      <c r="H92" t="s">
        <v>27</v>
      </c>
      <c r="I92" t="s">
        <v>28</v>
      </c>
      <c r="J92" t="s">
        <v>29</v>
      </c>
      <c r="K92" t="s">
        <v>213</v>
      </c>
      <c r="L92" t="s">
        <v>473</v>
      </c>
      <c r="M92" t="s">
        <v>29</v>
      </c>
      <c r="N92" t="s">
        <v>30</v>
      </c>
      <c r="O92">
        <v>24</v>
      </c>
      <c r="P92">
        <v>30</v>
      </c>
      <c r="Q92">
        <v>22</v>
      </c>
      <c r="R92" t="s">
        <v>177</v>
      </c>
      <c r="S92" t="s">
        <v>46</v>
      </c>
      <c r="T92" s="2" t="s">
        <v>137</v>
      </c>
      <c r="U92" t="str">
        <f t="shared" si="3"/>
        <v>C:\Users\jordant\PycharmProjects\LCMS_RiPP\output_data_flasks\TJ-C-689_TJ-C-614_unique_sample_91</v>
      </c>
      <c r="V92" s="5" t="s">
        <v>474</v>
      </c>
      <c r="W92">
        <v>176</v>
      </c>
      <c r="X92">
        <v>0</v>
      </c>
      <c r="Y92" s="5" t="s">
        <v>475</v>
      </c>
      <c r="Z92" t="s">
        <v>43</v>
      </c>
    </row>
    <row r="93" spans="1:26" x14ac:dyDescent="0.55000000000000004">
      <c r="A93" t="s">
        <v>314</v>
      </c>
      <c r="B93" t="str">
        <f t="shared" si="2"/>
        <v>2025_02_06</v>
      </c>
      <c r="C93" t="s">
        <v>222</v>
      </c>
      <c r="D93" s="3" t="s">
        <v>41</v>
      </c>
      <c r="F93" t="s">
        <v>25</v>
      </c>
      <c r="G93" t="s">
        <v>26</v>
      </c>
      <c r="H93" t="s">
        <v>27</v>
      </c>
      <c r="I93" t="s">
        <v>28</v>
      </c>
      <c r="J93" t="s">
        <v>29</v>
      </c>
      <c r="K93" t="s">
        <v>213</v>
      </c>
      <c r="L93" t="s">
        <v>473</v>
      </c>
      <c r="M93" t="s">
        <v>29</v>
      </c>
      <c r="N93" t="s">
        <v>30</v>
      </c>
      <c r="O93">
        <v>24</v>
      </c>
      <c r="P93">
        <v>30</v>
      </c>
      <c r="Q93">
        <v>22</v>
      </c>
      <c r="R93" t="s">
        <v>177</v>
      </c>
      <c r="S93" t="s">
        <v>46</v>
      </c>
      <c r="T93" s="2" t="s">
        <v>151</v>
      </c>
      <c r="U93" t="str">
        <f t="shared" si="3"/>
        <v>C:\Users\jordant\PycharmProjects\LCMS_RiPP\output_data_flasks\TJ-C-689_TJ-C-614_unique_sample_92</v>
      </c>
      <c r="V93" s="5" t="s">
        <v>474</v>
      </c>
      <c r="W93">
        <v>176</v>
      </c>
      <c r="X93">
        <v>0</v>
      </c>
      <c r="Y93" s="5" t="s">
        <v>475</v>
      </c>
      <c r="Z93" t="s">
        <v>43</v>
      </c>
    </row>
    <row r="94" spans="1:26" x14ac:dyDescent="0.55000000000000004">
      <c r="A94" t="s">
        <v>315</v>
      </c>
      <c r="B94" t="str">
        <f t="shared" si="2"/>
        <v>2025_02_06</v>
      </c>
      <c r="C94" t="s">
        <v>222</v>
      </c>
      <c r="D94" s="3" t="s">
        <v>41</v>
      </c>
      <c r="F94" t="s">
        <v>25</v>
      </c>
      <c r="G94" t="s">
        <v>26</v>
      </c>
      <c r="H94" t="s">
        <v>27</v>
      </c>
      <c r="I94" t="s">
        <v>28</v>
      </c>
      <c r="J94" t="s">
        <v>29</v>
      </c>
      <c r="K94" t="s">
        <v>213</v>
      </c>
      <c r="L94" t="s">
        <v>473</v>
      </c>
      <c r="M94" t="s">
        <v>29</v>
      </c>
      <c r="N94" t="s">
        <v>30</v>
      </c>
      <c r="O94">
        <v>24</v>
      </c>
      <c r="P94">
        <v>30</v>
      </c>
      <c r="Q94">
        <v>22</v>
      </c>
      <c r="R94" t="s">
        <v>177</v>
      </c>
      <c r="S94" t="s">
        <v>46</v>
      </c>
      <c r="T94" s="2" t="s">
        <v>152</v>
      </c>
      <c r="U94" t="str">
        <f t="shared" si="3"/>
        <v>C:\Users\jordant\PycharmProjects\LCMS_RiPP\output_data_flasks\TJ-C-689_TJ-C-614_unique_sample_93</v>
      </c>
      <c r="V94" s="5" t="s">
        <v>474</v>
      </c>
      <c r="W94">
        <v>176</v>
      </c>
      <c r="X94">
        <v>0</v>
      </c>
      <c r="Y94" s="5" t="s">
        <v>475</v>
      </c>
      <c r="Z94" t="s">
        <v>43</v>
      </c>
    </row>
    <row r="95" spans="1:26" x14ac:dyDescent="0.55000000000000004">
      <c r="A95" t="s">
        <v>316</v>
      </c>
      <c r="B95" t="str">
        <f t="shared" si="2"/>
        <v>2025_01_23</v>
      </c>
      <c r="C95" t="s">
        <v>222</v>
      </c>
      <c r="D95" s="3" t="s">
        <v>41</v>
      </c>
      <c r="F95" t="s">
        <v>25</v>
      </c>
      <c r="G95" t="s">
        <v>26</v>
      </c>
      <c r="H95" t="s">
        <v>27</v>
      </c>
      <c r="I95" t="s">
        <v>28</v>
      </c>
      <c r="J95" t="s">
        <v>29</v>
      </c>
      <c r="K95" t="s">
        <v>214</v>
      </c>
      <c r="L95" t="s">
        <v>476</v>
      </c>
      <c r="M95" t="s">
        <v>29</v>
      </c>
      <c r="N95" t="s">
        <v>30</v>
      </c>
      <c r="O95">
        <v>24</v>
      </c>
      <c r="P95">
        <v>30</v>
      </c>
      <c r="Q95">
        <v>22</v>
      </c>
      <c r="R95" t="s">
        <v>177</v>
      </c>
      <c r="S95" t="s">
        <v>46</v>
      </c>
      <c r="T95" s="2" t="s">
        <v>138</v>
      </c>
      <c r="U95" t="str">
        <f t="shared" si="3"/>
        <v>C:\Users\jordant\PycharmProjects\LCMS_RiPP\output_data_flasks\TJ-C-689_TJ-C-615_unique_sample_94</v>
      </c>
      <c r="V95" s="5" t="s">
        <v>477</v>
      </c>
      <c r="W95">
        <v>176</v>
      </c>
      <c r="X95">
        <v>0</v>
      </c>
      <c r="Y95" s="5" t="s">
        <v>478</v>
      </c>
      <c r="Z95" t="s">
        <v>43</v>
      </c>
    </row>
    <row r="96" spans="1:26" x14ac:dyDescent="0.55000000000000004">
      <c r="A96" t="s">
        <v>317</v>
      </c>
      <c r="B96" t="str">
        <f t="shared" si="2"/>
        <v>2025_02_06</v>
      </c>
      <c r="C96" t="s">
        <v>222</v>
      </c>
      <c r="D96" s="3" t="s">
        <v>41</v>
      </c>
      <c r="F96" t="s">
        <v>25</v>
      </c>
      <c r="G96" t="s">
        <v>26</v>
      </c>
      <c r="H96" t="s">
        <v>27</v>
      </c>
      <c r="I96" t="s">
        <v>28</v>
      </c>
      <c r="J96" t="s">
        <v>29</v>
      </c>
      <c r="K96" t="s">
        <v>214</v>
      </c>
      <c r="L96" t="s">
        <v>476</v>
      </c>
      <c r="M96" t="s">
        <v>29</v>
      </c>
      <c r="N96" t="s">
        <v>30</v>
      </c>
      <c r="O96">
        <v>24</v>
      </c>
      <c r="P96">
        <v>30</v>
      </c>
      <c r="Q96">
        <v>22</v>
      </c>
      <c r="R96" t="s">
        <v>177</v>
      </c>
      <c r="S96" t="s">
        <v>46</v>
      </c>
      <c r="T96" s="2" t="s">
        <v>153</v>
      </c>
      <c r="U96" t="str">
        <f t="shared" si="3"/>
        <v>C:\Users\jordant\PycharmProjects\LCMS_RiPP\output_data_flasks\TJ-C-689_TJ-C-615_unique_sample_95</v>
      </c>
      <c r="V96" s="5" t="s">
        <v>477</v>
      </c>
      <c r="W96">
        <v>176</v>
      </c>
      <c r="X96">
        <v>0</v>
      </c>
      <c r="Y96" s="5" t="s">
        <v>478</v>
      </c>
      <c r="Z96" t="s">
        <v>43</v>
      </c>
    </row>
    <row r="97" spans="1:26" x14ac:dyDescent="0.55000000000000004">
      <c r="A97" t="s">
        <v>318</v>
      </c>
      <c r="B97" t="str">
        <f t="shared" si="2"/>
        <v>2025_02_06</v>
      </c>
      <c r="C97" t="s">
        <v>222</v>
      </c>
      <c r="D97" s="3" t="s">
        <v>41</v>
      </c>
      <c r="F97" t="s">
        <v>25</v>
      </c>
      <c r="G97" t="s">
        <v>26</v>
      </c>
      <c r="H97" t="s">
        <v>27</v>
      </c>
      <c r="I97" t="s">
        <v>28</v>
      </c>
      <c r="J97" t="s">
        <v>29</v>
      </c>
      <c r="K97" t="s">
        <v>214</v>
      </c>
      <c r="L97" t="s">
        <v>476</v>
      </c>
      <c r="M97" t="s">
        <v>29</v>
      </c>
      <c r="N97" t="s">
        <v>30</v>
      </c>
      <c r="O97">
        <v>24</v>
      </c>
      <c r="P97">
        <v>30</v>
      </c>
      <c r="Q97">
        <v>22</v>
      </c>
      <c r="R97" t="s">
        <v>177</v>
      </c>
      <c r="S97" t="s">
        <v>46</v>
      </c>
      <c r="T97" s="2" t="s">
        <v>154</v>
      </c>
      <c r="U97" t="str">
        <f t="shared" si="3"/>
        <v>C:\Users\jordant\PycharmProjects\LCMS_RiPP\output_data_flasks\TJ-C-689_TJ-C-615_unique_sample_96</v>
      </c>
      <c r="V97" s="5" t="s">
        <v>477</v>
      </c>
      <c r="W97">
        <v>176</v>
      </c>
      <c r="X97">
        <v>0</v>
      </c>
      <c r="Y97" s="5" t="s">
        <v>478</v>
      </c>
      <c r="Z97" t="s">
        <v>43</v>
      </c>
    </row>
    <row r="98" spans="1:26" x14ac:dyDescent="0.55000000000000004">
      <c r="A98" t="s">
        <v>319</v>
      </c>
      <c r="B98" t="str">
        <f t="shared" si="2"/>
        <v>2025_01_23</v>
      </c>
      <c r="C98" t="s">
        <v>222</v>
      </c>
      <c r="D98" s="3" t="s">
        <v>41</v>
      </c>
      <c r="F98" t="s">
        <v>25</v>
      </c>
      <c r="G98" t="s">
        <v>26</v>
      </c>
      <c r="H98" t="s">
        <v>27</v>
      </c>
      <c r="I98" t="s">
        <v>28</v>
      </c>
      <c r="J98" t="s">
        <v>29</v>
      </c>
      <c r="K98" t="s">
        <v>215</v>
      </c>
      <c r="L98" t="s">
        <v>479</v>
      </c>
      <c r="M98" t="s">
        <v>29</v>
      </c>
      <c r="N98" t="s">
        <v>30</v>
      </c>
      <c r="O98">
        <v>24</v>
      </c>
      <c r="P98">
        <v>30</v>
      </c>
      <c r="Q98">
        <v>22</v>
      </c>
      <c r="R98" t="s">
        <v>177</v>
      </c>
      <c r="S98" t="s">
        <v>46</v>
      </c>
      <c r="T98" s="2" t="s">
        <v>139</v>
      </c>
      <c r="U98" t="str">
        <f t="shared" si="3"/>
        <v>C:\Users\jordant\PycharmProjects\LCMS_RiPP\output_data_flasks\TJ-C-689_TJ-C-616_unique_sample_97</v>
      </c>
      <c r="V98" s="5" t="s">
        <v>480</v>
      </c>
      <c r="W98">
        <v>176</v>
      </c>
      <c r="X98">
        <v>0</v>
      </c>
      <c r="Y98" s="5" t="s">
        <v>481</v>
      </c>
      <c r="Z98" t="s">
        <v>482</v>
      </c>
    </row>
    <row r="99" spans="1:26" x14ac:dyDescent="0.55000000000000004">
      <c r="A99" t="s">
        <v>320</v>
      </c>
      <c r="B99" t="str">
        <f t="shared" si="2"/>
        <v>2025_02_06</v>
      </c>
      <c r="C99" t="s">
        <v>222</v>
      </c>
      <c r="D99" s="3" t="s">
        <v>41</v>
      </c>
      <c r="F99" t="s">
        <v>25</v>
      </c>
      <c r="G99" t="s">
        <v>26</v>
      </c>
      <c r="H99" t="s">
        <v>27</v>
      </c>
      <c r="I99" t="s">
        <v>28</v>
      </c>
      <c r="J99" t="s">
        <v>29</v>
      </c>
      <c r="K99" t="s">
        <v>215</v>
      </c>
      <c r="L99" t="s">
        <v>479</v>
      </c>
      <c r="M99" t="s">
        <v>29</v>
      </c>
      <c r="N99" t="s">
        <v>30</v>
      </c>
      <c r="O99">
        <v>24</v>
      </c>
      <c r="P99">
        <v>30</v>
      </c>
      <c r="Q99">
        <v>22</v>
      </c>
      <c r="R99" t="s">
        <v>177</v>
      </c>
      <c r="S99" t="s">
        <v>46</v>
      </c>
      <c r="T99" s="2" t="s">
        <v>157</v>
      </c>
      <c r="U99" t="str">
        <f t="shared" si="3"/>
        <v>C:\Users\jordant\PycharmProjects\LCMS_RiPP\output_data_flasks\TJ-C-689_TJ-C-616_unique_sample_98</v>
      </c>
      <c r="V99" s="5" t="s">
        <v>480</v>
      </c>
      <c r="W99">
        <v>176</v>
      </c>
      <c r="X99">
        <v>0</v>
      </c>
      <c r="Y99" s="5" t="s">
        <v>481</v>
      </c>
      <c r="Z99" t="s">
        <v>482</v>
      </c>
    </row>
    <row r="100" spans="1:26" x14ac:dyDescent="0.55000000000000004">
      <c r="A100" t="s">
        <v>321</v>
      </c>
      <c r="B100" t="str">
        <f t="shared" si="2"/>
        <v>2025_02_06</v>
      </c>
      <c r="C100" t="s">
        <v>222</v>
      </c>
      <c r="D100" s="3" t="s">
        <v>41</v>
      </c>
      <c r="F100" t="s">
        <v>25</v>
      </c>
      <c r="G100" t="s">
        <v>26</v>
      </c>
      <c r="H100" t="s">
        <v>27</v>
      </c>
      <c r="I100" t="s">
        <v>28</v>
      </c>
      <c r="J100" t="s">
        <v>29</v>
      </c>
      <c r="K100" t="s">
        <v>215</v>
      </c>
      <c r="L100" t="s">
        <v>479</v>
      </c>
      <c r="M100" t="s">
        <v>29</v>
      </c>
      <c r="N100" t="s">
        <v>30</v>
      </c>
      <c r="O100">
        <v>24</v>
      </c>
      <c r="P100">
        <v>30</v>
      </c>
      <c r="Q100">
        <v>22</v>
      </c>
      <c r="R100" t="s">
        <v>177</v>
      </c>
      <c r="S100" t="s">
        <v>46</v>
      </c>
      <c r="T100" s="2" t="s">
        <v>158</v>
      </c>
      <c r="U100" t="str">
        <f t="shared" si="3"/>
        <v>C:\Users\jordant\PycharmProjects\LCMS_RiPP\output_data_flasks\TJ-C-689_TJ-C-616_unique_sample_99</v>
      </c>
      <c r="V100" s="5" t="s">
        <v>480</v>
      </c>
      <c r="W100">
        <v>176</v>
      </c>
      <c r="X100">
        <v>0</v>
      </c>
      <c r="Y100" s="5" t="s">
        <v>481</v>
      </c>
      <c r="Z100" t="s">
        <v>482</v>
      </c>
    </row>
    <row r="101" spans="1:26" x14ac:dyDescent="0.55000000000000004">
      <c r="A101" t="s">
        <v>322</v>
      </c>
      <c r="B101" t="str">
        <f t="shared" si="2"/>
        <v>2025_02_06</v>
      </c>
      <c r="C101" t="s">
        <v>222</v>
      </c>
      <c r="D101" s="3" t="s">
        <v>41</v>
      </c>
      <c r="F101" t="s">
        <v>25</v>
      </c>
      <c r="G101" t="s">
        <v>26</v>
      </c>
      <c r="H101" t="s">
        <v>27</v>
      </c>
      <c r="I101" t="s">
        <v>28</v>
      </c>
      <c r="J101" t="s">
        <v>29</v>
      </c>
      <c r="K101" t="s">
        <v>215</v>
      </c>
      <c r="L101" t="s">
        <v>479</v>
      </c>
      <c r="M101" t="s">
        <v>29</v>
      </c>
      <c r="N101" t="s">
        <v>30</v>
      </c>
      <c r="O101">
        <v>24</v>
      </c>
      <c r="P101">
        <v>30</v>
      </c>
      <c r="Q101">
        <v>22</v>
      </c>
      <c r="S101" t="s">
        <v>46</v>
      </c>
      <c r="T101" s="2" t="s">
        <v>155</v>
      </c>
      <c r="U101" t="str">
        <f t="shared" si="3"/>
        <v>C:\Users\jordant\PycharmProjects\LCMS_RiPP\output_data_flasks\TJ-C-689_TJ-C-616_unique_sample_100</v>
      </c>
      <c r="V101" s="5" t="s">
        <v>480</v>
      </c>
      <c r="W101">
        <v>176</v>
      </c>
      <c r="X101">
        <v>0</v>
      </c>
      <c r="Y101" s="5" t="s">
        <v>481</v>
      </c>
      <c r="Z101" t="s">
        <v>482</v>
      </c>
    </row>
    <row r="102" spans="1:26" x14ac:dyDescent="0.55000000000000004">
      <c r="A102" t="s">
        <v>323</v>
      </c>
      <c r="B102" t="str">
        <f t="shared" si="2"/>
        <v>2025_02_06</v>
      </c>
      <c r="C102" t="s">
        <v>222</v>
      </c>
      <c r="D102" s="3" t="s">
        <v>41</v>
      </c>
      <c r="F102" t="s">
        <v>25</v>
      </c>
      <c r="G102" t="s">
        <v>26</v>
      </c>
      <c r="H102" t="s">
        <v>27</v>
      </c>
      <c r="I102" t="s">
        <v>28</v>
      </c>
      <c r="J102" t="s">
        <v>29</v>
      </c>
      <c r="K102" t="s">
        <v>215</v>
      </c>
      <c r="L102" t="s">
        <v>479</v>
      </c>
      <c r="M102" t="s">
        <v>29</v>
      </c>
      <c r="N102" t="s">
        <v>30</v>
      </c>
      <c r="O102">
        <v>24</v>
      </c>
      <c r="P102">
        <v>30</v>
      </c>
      <c r="Q102">
        <v>22</v>
      </c>
      <c r="S102" t="s">
        <v>46</v>
      </c>
      <c r="T102" s="2" t="s">
        <v>156</v>
      </c>
      <c r="U102" t="str">
        <f t="shared" si="3"/>
        <v>C:\Users\jordant\PycharmProjects\LCMS_RiPP\output_data_flasks\TJ-C-689_TJ-C-616_unique_sample_101</v>
      </c>
      <c r="V102" s="5" t="s">
        <v>480</v>
      </c>
      <c r="W102">
        <v>176</v>
      </c>
      <c r="X102">
        <v>0</v>
      </c>
      <c r="Y102" s="5" t="s">
        <v>481</v>
      </c>
      <c r="Z102" t="s">
        <v>482</v>
      </c>
    </row>
    <row r="103" spans="1:26" x14ac:dyDescent="0.55000000000000004">
      <c r="A103" t="s">
        <v>324</v>
      </c>
      <c r="B103" t="str">
        <f t="shared" si="2"/>
        <v>2025_02_06</v>
      </c>
      <c r="C103" t="s">
        <v>222</v>
      </c>
      <c r="D103" s="3" t="s">
        <v>41</v>
      </c>
      <c r="F103" t="s">
        <v>25</v>
      </c>
      <c r="G103" t="s">
        <v>26</v>
      </c>
      <c r="H103" t="s">
        <v>27</v>
      </c>
      <c r="I103" t="s">
        <v>28</v>
      </c>
      <c r="J103" t="s">
        <v>29</v>
      </c>
      <c r="K103" t="s">
        <v>215</v>
      </c>
      <c r="L103" t="s">
        <v>479</v>
      </c>
      <c r="M103" t="s">
        <v>29</v>
      </c>
      <c r="N103" t="s">
        <v>30</v>
      </c>
      <c r="O103">
        <v>24</v>
      </c>
      <c r="P103">
        <v>30</v>
      </c>
      <c r="Q103">
        <v>22</v>
      </c>
      <c r="R103" t="s">
        <v>44</v>
      </c>
      <c r="S103" t="s">
        <v>46</v>
      </c>
      <c r="T103" s="2" t="s">
        <v>159</v>
      </c>
      <c r="U103" t="str">
        <f t="shared" si="3"/>
        <v>C:\Users\jordant\PycharmProjects\LCMS_RiPP\output_data_flasks\TJ-C-689_TJ-C-616_unique_sample_102</v>
      </c>
      <c r="V103" s="5" t="s">
        <v>480</v>
      </c>
      <c r="W103">
        <v>176</v>
      </c>
      <c r="X103">
        <v>0</v>
      </c>
      <c r="Y103" s="5" t="s">
        <v>481</v>
      </c>
      <c r="Z103" t="s">
        <v>482</v>
      </c>
    </row>
    <row r="104" spans="1:26" x14ac:dyDescent="0.55000000000000004">
      <c r="A104" t="s">
        <v>325</v>
      </c>
      <c r="B104" t="str">
        <f t="shared" si="2"/>
        <v>2025_02_06</v>
      </c>
      <c r="C104" t="s">
        <v>222</v>
      </c>
      <c r="D104" s="3" t="s">
        <v>41</v>
      </c>
      <c r="F104" t="s">
        <v>25</v>
      </c>
      <c r="G104" t="s">
        <v>26</v>
      </c>
      <c r="H104" t="s">
        <v>27</v>
      </c>
      <c r="I104" t="s">
        <v>28</v>
      </c>
      <c r="J104" t="s">
        <v>29</v>
      </c>
      <c r="K104" t="s">
        <v>215</v>
      </c>
      <c r="L104" t="s">
        <v>479</v>
      </c>
      <c r="M104" t="s">
        <v>29</v>
      </c>
      <c r="N104" t="s">
        <v>30</v>
      </c>
      <c r="O104">
        <v>24</v>
      </c>
      <c r="P104">
        <v>30</v>
      </c>
      <c r="Q104">
        <v>22</v>
      </c>
      <c r="R104" t="s">
        <v>44</v>
      </c>
      <c r="S104" t="s">
        <v>46</v>
      </c>
      <c r="T104" s="2" t="s">
        <v>160</v>
      </c>
      <c r="U104" t="str">
        <f t="shared" si="3"/>
        <v>C:\Users\jordant\PycharmProjects\LCMS_RiPP\output_data_flasks\TJ-C-689_TJ-C-616_unique_sample_103</v>
      </c>
      <c r="V104" s="5" t="s">
        <v>480</v>
      </c>
      <c r="W104">
        <v>176</v>
      </c>
      <c r="X104">
        <v>0</v>
      </c>
      <c r="Y104" s="5" t="s">
        <v>481</v>
      </c>
      <c r="Z104" t="s">
        <v>482</v>
      </c>
    </row>
    <row r="105" spans="1:26" x14ac:dyDescent="0.55000000000000004">
      <c r="A105" t="s">
        <v>326</v>
      </c>
      <c r="B105" t="str">
        <f t="shared" si="2"/>
        <v>2025_01_23</v>
      </c>
      <c r="C105" t="s">
        <v>222</v>
      </c>
      <c r="D105" s="3" t="s">
        <v>41</v>
      </c>
      <c r="F105" t="s">
        <v>25</v>
      </c>
      <c r="G105" t="s">
        <v>26</v>
      </c>
      <c r="H105" t="s">
        <v>27</v>
      </c>
      <c r="I105" t="s">
        <v>28</v>
      </c>
      <c r="J105" t="s">
        <v>29</v>
      </c>
      <c r="K105" t="s">
        <v>216</v>
      </c>
      <c r="L105" t="s">
        <v>483</v>
      </c>
      <c r="M105" t="s">
        <v>29</v>
      </c>
      <c r="N105" t="s">
        <v>30</v>
      </c>
      <c r="O105">
        <v>24</v>
      </c>
      <c r="P105">
        <v>30</v>
      </c>
      <c r="Q105">
        <v>22</v>
      </c>
      <c r="R105" t="s">
        <v>177</v>
      </c>
      <c r="S105" t="s">
        <v>46</v>
      </c>
      <c r="T105" s="2" t="s">
        <v>140</v>
      </c>
      <c r="U105" t="str">
        <f t="shared" si="3"/>
        <v>C:\Users\jordant\PycharmProjects\LCMS_RiPP\output_data_flasks\TJ-C-689_TJ-C-617_unique_sample_104</v>
      </c>
      <c r="V105" s="5" t="s">
        <v>484</v>
      </c>
      <c r="W105">
        <v>176</v>
      </c>
      <c r="X105">
        <v>0</v>
      </c>
      <c r="Y105" s="5" t="s">
        <v>485</v>
      </c>
      <c r="Z105" t="s">
        <v>361</v>
      </c>
    </row>
    <row r="106" spans="1:26" x14ac:dyDescent="0.55000000000000004">
      <c r="A106" t="s">
        <v>327</v>
      </c>
      <c r="B106" t="str">
        <f t="shared" si="2"/>
        <v>2025_02_06</v>
      </c>
      <c r="C106" t="s">
        <v>222</v>
      </c>
      <c r="D106" s="3" t="s">
        <v>41</v>
      </c>
      <c r="F106" t="s">
        <v>25</v>
      </c>
      <c r="G106" t="s">
        <v>26</v>
      </c>
      <c r="H106" t="s">
        <v>27</v>
      </c>
      <c r="I106" t="s">
        <v>28</v>
      </c>
      <c r="J106" t="s">
        <v>29</v>
      </c>
      <c r="K106" t="s">
        <v>216</v>
      </c>
      <c r="L106" t="s">
        <v>483</v>
      </c>
      <c r="M106" t="s">
        <v>29</v>
      </c>
      <c r="N106" t="s">
        <v>30</v>
      </c>
      <c r="O106">
        <v>24</v>
      </c>
      <c r="P106">
        <v>30</v>
      </c>
      <c r="Q106">
        <v>22</v>
      </c>
      <c r="R106" t="s">
        <v>177</v>
      </c>
      <c r="S106" t="s">
        <v>46</v>
      </c>
      <c r="T106" s="2" t="s">
        <v>163</v>
      </c>
      <c r="U106" t="str">
        <f t="shared" si="3"/>
        <v>C:\Users\jordant\PycharmProjects\LCMS_RiPP\output_data_flasks\TJ-C-689_TJ-C-617_unique_sample_105</v>
      </c>
      <c r="V106" s="5" t="s">
        <v>484</v>
      </c>
      <c r="W106">
        <v>176</v>
      </c>
      <c r="X106">
        <v>0</v>
      </c>
      <c r="Y106" s="5" t="s">
        <v>485</v>
      </c>
      <c r="Z106" t="s">
        <v>361</v>
      </c>
    </row>
    <row r="107" spans="1:26" x14ac:dyDescent="0.55000000000000004">
      <c r="A107" t="s">
        <v>328</v>
      </c>
      <c r="B107" t="str">
        <f t="shared" si="2"/>
        <v>2025_02_06</v>
      </c>
      <c r="C107" t="s">
        <v>222</v>
      </c>
      <c r="D107" s="3" t="s">
        <v>41</v>
      </c>
      <c r="F107" t="s">
        <v>25</v>
      </c>
      <c r="G107" t="s">
        <v>26</v>
      </c>
      <c r="H107" t="s">
        <v>27</v>
      </c>
      <c r="I107" t="s">
        <v>28</v>
      </c>
      <c r="J107" t="s">
        <v>29</v>
      </c>
      <c r="K107" t="s">
        <v>216</v>
      </c>
      <c r="L107" t="s">
        <v>483</v>
      </c>
      <c r="M107" t="s">
        <v>29</v>
      </c>
      <c r="N107" t="s">
        <v>30</v>
      </c>
      <c r="O107">
        <v>24</v>
      </c>
      <c r="P107">
        <v>30</v>
      </c>
      <c r="Q107">
        <v>22</v>
      </c>
      <c r="R107" t="s">
        <v>177</v>
      </c>
      <c r="S107" t="s">
        <v>46</v>
      </c>
      <c r="T107" s="2" t="s">
        <v>164</v>
      </c>
      <c r="U107" t="str">
        <f t="shared" si="3"/>
        <v>C:\Users\jordant\PycharmProjects\LCMS_RiPP\output_data_flasks\TJ-C-689_TJ-C-617_unique_sample_106</v>
      </c>
      <c r="V107" s="5" t="s">
        <v>484</v>
      </c>
      <c r="W107">
        <v>176</v>
      </c>
      <c r="X107">
        <v>0</v>
      </c>
      <c r="Y107" s="5" t="s">
        <v>485</v>
      </c>
      <c r="Z107" t="s">
        <v>361</v>
      </c>
    </row>
    <row r="108" spans="1:26" x14ac:dyDescent="0.55000000000000004">
      <c r="A108" t="s">
        <v>329</v>
      </c>
      <c r="B108" t="str">
        <f t="shared" si="2"/>
        <v>2025_02_06</v>
      </c>
      <c r="C108" t="s">
        <v>222</v>
      </c>
      <c r="D108" s="3" t="s">
        <v>41</v>
      </c>
      <c r="F108" t="s">
        <v>25</v>
      </c>
      <c r="G108" t="s">
        <v>26</v>
      </c>
      <c r="H108" t="s">
        <v>27</v>
      </c>
      <c r="I108" t="s">
        <v>28</v>
      </c>
      <c r="J108" t="s">
        <v>29</v>
      </c>
      <c r="K108" t="s">
        <v>216</v>
      </c>
      <c r="L108" t="s">
        <v>483</v>
      </c>
      <c r="M108" t="s">
        <v>29</v>
      </c>
      <c r="N108" t="s">
        <v>30</v>
      </c>
      <c r="O108">
        <v>24</v>
      </c>
      <c r="P108">
        <v>30</v>
      </c>
      <c r="Q108">
        <v>22</v>
      </c>
      <c r="S108" t="s">
        <v>46</v>
      </c>
      <c r="T108" s="2" t="s">
        <v>161</v>
      </c>
      <c r="U108" t="str">
        <f t="shared" si="3"/>
        <v>C:\Users\jordant\PycharmProjects\LCMS_RiPP\output_data_flasks\TJ-C-689_TJ-C-617_unique_sample_107</v>
      </c>
      <c r="V108" s="5" t="s">
        <v>484</v>
      </c>
      <c r="W108">
        <v>176</v>
      </c>
      <c r="X108">
        <v>0</v>
      </c>
      <c r="Y108" s="5" t="s">
        <v>485</v>
      </c>
      <c r="Z108" t="s">
        <v>361</v>
      </c>
    </row>
    <row r="109" spans="1:26" x14ac:dyDescent="0.55000000000000004">
      <c r="A109" t="s">
        <v>330</v>
      </c>
      <c r="B109" t="str">
        <f t="shared" si="2"/>
        <v>2025_02_06</v>
      </c>
      <c r="C109" t="s">
        <v>222</v>
      </c>
      <c r="D109" s="3" t="s">
        <v>41</v>
      </c>
      <c r="F109" t="s">
        <v>25</v>
      </c>
      <c r="G109" t="s">
        <v>26</v>
      </c>
      <c r="H109" t="s">
        <v>27</v>
      </c>
      <c r="I109" t="s">
        <v>28</v>
      </c>
      <c r="J109" t="s">
        <v>29</v>
      </c>
      <c r="K109" t="s">
        <v>216</v>
      </c>
      <c r="L109" t="s">
        <v>483</v>
      </c>
      <c r="M109" t="s">
        <v>29</v>
      </c>
      <c r="N109" t="s">
        <v>30</v>
      </c>
      <c r="O109">
        <v>24</v>
      </c>
      <c r="P109">
        <v>30</v>
      </c>
      <c r="Q109">
        <v>22</v>
      </c>
      <c r="S109" t="s">
        <v>46</v>
      </c>
      <c r="T109" s="2" t="s">
        <v>162</v>
      </c>
      <c r="U109" t="str">
        <f t="shared" si="3"/>
        <v>C:\Users\jordant\PycharmProjects\LCMS_RiPP\output_data_flasks\TJ-C-689_TJ-C-617_unique_sample_108</v>
      </c>
      <c r="V109" s="5" t="s">
        <v>484</v>
      </c>
      <c r="W109">
        <v>176</v>
      </c>
      <c r="X109">
        <v>0</v>
      </c>
      <c r="Y109" s="5" t="s">
        <v>485</v>
      </c>
      <c r="Z109" t="s">
        <v>361</v>
      </c>
    </row>
    <row r="110" spans="1:26" x14ac:dyDescent="0.55000000000000004">
      <c r="A110" t="s">
        <v>331</v>
      </c>
      <c r="B110" t="str">
        <f t="shared" si="2"/>
        <v>2025_02_06</v>
      </c>
      <c r="C110" t="s">
        <v>222</v>
      </c>
      <c r="D110" s="3" t="s">
        <v>41</v>
      </c>
      <c r="F110" t="s">
        <v>25</v>
      </c>
      <c r="G110" t="s">
        <v>26</v>
      </c>
      <c r="H110" t="s">
        <v>27</v>
      </c>
      <c r="I110" t="s">
        <v>28</v>
      </c>
      <c r="J110" t="s">
        <v>29</v>
      </c>
      <c r="K110" t="s">
        <v>216</v>
      </c>
      <c r="L110" t="s">
        <v>483</v>
      </c>
      <c r="M110" t="s">
        <v>29</v>
      </c>
      <c r="N110" t="s">
        <v>30</v>
      </c>
      <c r="O110">
        <v>24</v>
      </c>
      <c r="P110">
        <v>30</v>
      </c>
      <c r="Q110">
        <v>22</v>
      </c>
      <c r="R110" t="s">
        <v>44</v>
      </c>
      <c r="S110" t="s">
        <v>46</v>
      </c>
      <c r="T110" s="2" t="s">
        <v>165</v>
      </c>
      <c r="U110" t="str">
        <f t="shared" si="3"/>
        <v>C:\Users\jordant\PycharmProjects\LCMS_RiPP\output_data_flasks\TJ-C-689_TJ-C-617_unique_sample_109</v>
      </c>
      <c r="V110" s="5" t="s">
        <v>484</v>
      </c>
      <c r="W110">
        <v>176</v>
      </c>
      <c r="X110">
        <v>0</v>
      </c>
      <c r="Y110" s="5" t="s">
        <v>485</v>
      </c>
      <c r="Z110" t="s">
        <v>361</v>
      </c>
    </row>
    <row r="111" spans="1:26" x14ac:dyDescent="0.55000000000000004">
      <c r="A111" t="s">
        <v>332</v>
      </c>
      <c r="B111" t="str">
        <f t="shared" si="2"/>
        <v>2025_02_06</v>
      </c>
      <c r="C111" t="s">
        <v>222</v>
      </c>
      <c r="D111" s="3" t="s">
        <v>41</v>
      </c>
      <c r="F111" t="s">
        <v>25</v>
      </c>
      <c r="G111" t="s">
        <v>26</v>
      </c>
      <c r="H111" t="s">
        <v>27</v>
      </c>
      <c r="I111" t="s">
        <v>28</v>
      </c>
      <c r="J111" t="s">
        <v>29</v>
      </c>
      <c r="K111" t="s">
        <v>216</v>
      </c>
      <c r="L111" t="s">
        <v>483</v>
      </c>
      <c r="M111" t="s">
        <v>29</v>
      </c>
      <c r="N111" t="s">
        <v>30</v>
      </c>
      <c r="O111">
        <v>24</v>
      </c>
      <c r="P111">
        <v>30</v>
      </c>
      <c r="Q111">
        <v>22</v>
      </c>
      <c r="R111" t="s">
        <v>44</v>
      </c>
      <c r="S111" t="s">
        <v>46</v>
      </c>
      <c r="T111" s="2" t="s">
        <v>166</v>
      </c>
      <c r="U111" t="str">
        <f t="shared" si="3"/>
        <v>C:\Users\jordant\PycharmProjects\LCMS_RiPP\output_data_flasks\TJ-C-689_TJ-C-617_unique_sample_110</v>
      </c>
      <c r="V111" s="5" t="s">
        <v>484</v>
      </c>
      <c r="W111">
        <v>176</v>
      </c>
      <c r="X111">
        <v>0</v>
      </c>
      <c r="Y111" s="5" t="s">
        <v>485</v>
      </c>
      <c r="Z111" t="s">
        <v>361</v>
      </c>
    </row>
    <row r="112" spans="1:26" x14ac:dyDescent="0.55000000000000004">
      <c r="A112" t="s">
        <v>333</v>
      </c>
      <c r="B112" t="str">
        <f t="shared" si="2"/>
        <v>2025_01_23</v>
      </c>
      <c r="C112" t="s">
        <v>222</v>
      </c>
      <c r="D112" s="3" t="s">
        <v>41</v>
      </c>
      <c r="F112" t="s">
        <v>25</v>
      </c>
      <c r="G112" t="s">
        <v>26</v>
      </c>
      <c r="H112" t="s">
        <v>27</v>
      </c>
      <c r="I112" t="s">
        <v>28</v>
      </c>
      <c r="J112" t="s">
        <v>29</v>
      </c>
      <c r="K112" t="s">
        <v>217</v>
      </c>
      <c r="L112" t="s">
        <v>486</v>
      </c>
      <c r="M112" t="s">
        <v>29</v>
      </c>
      <c r="N112" t="s">
        <v>30</v>
      </c>
      <c r="O112">
        <v>24</v>
      </c>
      <c r="P112">
        <v>30</v>
      </c>
      <c r="Q112">
        <v>22</v>
      </c>
      <c r="R112" t="s">
        <v>177</v>
      </c>
      <c r="S112" t="s">
        <v>46</v>
      </c>
      <c r="T112" t="s">
        <v>141</v>
      </c>
      <c r="U112" t="str">
        <f t="shared" si="3"/>
        <v>C:\Users\jordant\PycharmProjects\LCMS_RiPP\output_data_flasks\TJ-C-689_TJ-C-618_unique_sample_111</v>
      </c>
      <c r="V112" s="5" t="s">
        <v>487</v>
      </c>
      <c r="W112">
        <v>176</v>
      </c>
      <c r="X112">
        <v>0</v>
      </c>
      <c r="Y112" s="5" t="s">
        <v>488</v>
      </c>
      <c r="Z112" t="s">
        <v>43</v>
      </c>
    </row>
    <row r="113" spans="1:26" x14ac:dyDescent="0.55000000000000004">
      <c r="A113" t="s">
        <v>334</v>
      </c>
      <c r="B113" t="str">
        <f t="shared" si="2"/>
        <v>2025_02_06</v>
      </c>
      <c r="C113" t="s">
        <v>222</v>
      </c>
      <c r="D113" s="3" t="s">
        <v>41</v>
      </c>
      <c r="F113" t="s">
        <v>25</v>
      </c>
      <c r="G113" t="s">
        <v>26</v>
      </c>
      <c r="H113" t="s">
        <v>27</v>
      </c>
      <c r="I113" t="s">
        <v>28</v>
      </c>
      <c r="J113" t="s">
        <v>29</v>
      </c>
      <c r="K113" t="s">
        <v>217</v>
      </c>
      <c r="L113" t="s">
        <v>486</v>
      </c>
      <c r="M113" t="s">
        <v>29</v>
      </c>
      <c r="N113" t="s">
        <v>30</v>
      </c>
      <c r="O113">
        <v>24</v>
      </c>
      <c r="P113">
        <v>30</v>
      </c>
      <c r="Q113">
        <v>22</v>
      </c>
      <c r="R113" t="s">
        <v>177</v>
      </c>
      <c r="S113" t="s">
        <v>46</v>
      </c>
      <c r="T113" t="s">
        <v>167</v>
      </c>
      <c r="U113" t="str">
        <f t="shared" si="3"/>
        <v>C:\Users\jordant\PycharmProjects\LCMS_RiPP\output_data_flasks\TJ-C-689_TJ-C-618_unique_sample_112</v>
      </c>
      <c r="V113" s="5" t="s">
        <v>487</v>
      </c>
      <c r="W113">
        <v>176</v>
      </c>
      <c r="X113">
        <v>0</v>
      </c>
      <c r="Y113" s="5" t="s">
        <v>488</v>
      </c>
      <c r="Z113" t="s">
        <v>43</v>
      </c>
    </row>
    <row r="114" spans="1:26" x14ac:dyDescent="0.55000000000000004">
      <c r="A114" t="s">
        <v>335</v>
      </c>
      <c r="B114" t="str">
        <f t="shared" si="2"/>
        <v>2025_02_06</v>
      </c>
      <c r="C114" t="s">
        <v>222</v>
      </c>
      <c r="D114" s="3" t="s">
        <v>41</v>
      </c>
      <c r="F114" t="s">
        <v>25</v>
      </c>
      <c r="G114" t="s">
        <v>26</v>
      </c>
      <c r="H114" t="s">
        <v>27</v>
      </c>
      <c r="I114" t="s">
        <v>28</v>
      </c>
      <c r="J114" t="s">
        <v>29</v>
      </c>
      <c r="K114" t="s">
        <v>217</v>
      </c>
      <c r="L114" t="s">
        <v>486</v>
      </c>
      <c r="M114" t="s">
        <v>29</v>
      </c>
      <c r="N114" t="s">
        <v>30</v>
      </c>
      <c r="O114">
        <v>24</v>
      </c>
      <c r="P114">
        <v>30</v>
      </c>
      <c r="Q114">
        <v>22</v>
      </c>
      <c r="R114" t="s">
        <v>177</v>
      </c>
      <c r="S114" t="s">
        <v>46</v>
      </c>
      <c r="T114" t="s">
        <v>168</v>
      </c>
      <c r="U114" t="str">
        <f t="shared" si="3"/>
        <v>C:\Users\jordant\PycharmProjects\LCMS_RiPP\output_data_flasks\TJ-C-689_TJ-C-618_unique_sample_113</v>
      </c>
      <c r="V114" s="5" t="s">
        <v>487</v>
      </c>
      <c r="W114">
        <v>176</v>
      </c>
      <c r="X114">
        <v>0</v>
      </c>
      <c r="Y114" s="5" t="s">
        <v>488</v>
      </c>
      <c r="Z114" t="s">
        <v>43</v>
      </c>
    </row>
    <row r="115" spans="1:26" x14ac:dyDescent="0.55000000000000004">
      <c r="A115" t="s">
        <v>336</v>
      </c>
      <c r="B115" t="str">
        <f t="shared" si="2"/>
        <v>2025_01_23</v>
      </c>
      <c r="C115" t="s">
        <v>222</v>
      </c>
      <c r="D115" s="3" t="s">
        <v>41</v>
      </c>
      <c r="F115" t="s">
        <v>25</v>
      </c>
      <c r="G115" t="s">
        <v>26</v>
      </c>
      <c r="H115" t="s">
        <v>27</v>
      </c>
      <c r="I115" t="s">
        <v>28</v>
      </c>
      <c r="J115" t="s">
        <v>29</v>
      </c>
      <c r="K115" t="s">
        <v>218</v>
      </c>
      <c r="L115" t="s">
        <v>489</v>
      </c>
      <c r="M115" t="s">
        <v>29</v>
      </c>
      <c r="N115" t="s">
        <v>30</v>
      </c>
      <c r="O115">
        <v>24</v>
      </c>
      <c r="P115">
        <v>30</v>
      </c>
      <c r="Q115">
        <v>22</v>
      </c>
      <c r="R115" t="s">
        <v>177</v>
      </c>
      <c r="S115" t="s">
        <v>46</v>
      </c>
      <c r="T115" s="2" t="s">
        <v>142</v>
      </c>
      <c r="U115" t="str">
        <f t="shared" si="3"/>
        <v>C:\Users\jordant\PycharmProjects\LCMS_RiPP\output_data_flasks\TJ-C-689_TJ-C-619_unique_sample_114</v>
      </c>
      <c r="V115" s="5" t="s">
        <v>492</v>
      </c>
      <c r="W115">
        <v>176</v>
      </c>
      <c r="X115">
        <v>0</v>
      </c>
      <c r="Y115" s="5" t="s">
        <v>493</v>
      </c>
      <c r="Z115" t="s">
        <v>43</v>
      </c>
    </row>
    <row r="116" spans="1:26" x14ac:dyDescent="0.55000000000000004">
      <c r="A116" t="s">
        <v>337</v>
      </c>
      <c r="B116" t="str">
        <f t="shared" si="2"/>
        <v>2025_02_06</v>
      </c>
      <c r="C116" t="s">
        <v>222</v>
      </c>
      <c r="D116" s="3" t="s">
        <v>41</v>
      </c>
      <c r="F116" t="s">
        <v>25</v>
      </c>
      <c r="G116" t="s">
        <v>26</v>
      </c>
      <c r="H116" t="s">
        <v>27</v>
      </c>
      <c r="I116" t="s">
        <v>28</v>
      </c>
      <c r="J116" t="s">
        <v>29</v>
      </c>
      <c r="K116" t="s">
        <v>218</v>
      </c>
      <c r="L116" t="s">
        <v>490</v>
      </c>
      <c r="M116" t="s">
        <v>29</v>
      </c>
      <c r="N116" t="s">
        <v>30</v>
      </c>
      <c r="O116">
        <v>24</v>
      </c>
      <c r="P116">
        <v>30</v>
      </c>
      <c r="Q116">
        <v>22</v>
      </c>
      <c r="R116" t="s">
        <v>177</v>
      </c>
      <c r="S116" t="s">
        <v>46</v>
      </c>
      <c r="T116" s="2" t="s">
        <v>169</v>
      </c>
      <c r="U116" t="str">
        <f t="shared" si="3"/>
        <v>C:\Users\jordant\PycharmProjects\LCMS_RiPP\output_data_flasks\TJ-C-689_TJ-C-619_unique_sample_115</v>
      </c>
      <c r="V116" s="5" t="s">
        <v>492</v>
      </c>
      <c r="W116">
        <v>176</v>
      </c>
      <c r="X116">
        <v>0</v>
      </c>
      <c r="Y116" s="5" t="s">
        <v>493</v>
      </c>
      <c r="Z116" t="s">
        <v>43</v>
      </c>
    </row>
    <row r="117" spans="1:26" x14ac:dyDescent="0.55000000000000004">
      <c r="A117" t="s">
        <v>338</v>
      </c>
      <c r="B117" t="str">
        <f t="shared" si="2"/>
        <v>2025_02_06</v>
      </c>
      <c r="C117" t="s">
        <v>222</v>
      </c>
      <c r="D117" s="3" t="s">
        <v>41</v>
      </c>
      <c r="F117" t="s">
        <v>25</v>
      </c>
      <c r="G117" t="s">
        <v>26</v>
      </c>
      <c r="H117" t="s">
        <v>27</v>
      </c>
      <c r="I117" t="s">
        <v>28</v>
      </c>
      <c r="J117" t="s">
        <v>29</v>
      </c>
      <c r="K117" t="s">
        <v>218</v>
      </c>
      <c r="L117" t="s">
        <v>491</v>
      </c>
      <c r="M117" t="s">
        <v>29</v>
      </c>
      <c r="N117" t="s">
        <v>30</v>
      </c>
      <c r="O117">
        <v>24</v>
      </c>
      <c r="P117">
        <v>30</v>
      </c>
      <c r="Q117">
        <v>22</v>
      </c>
      <c r="R117" t="s">
        <v>177</v>
      </c>
      <c r="S117" t="s">
        <v>46</v>
      </c>
      <c r="T117" s="2" t="s">
        <v>170</v>
      </c>
      <c r="U117" t="str">
        <f t="shared" si="3"/>
        <v>C:\Users\jordant\PycharmProjects\LCMS_RiPP\output_data_flasks\TJ-C-689_TJ-C-619_unique_sample_116</v>
      </c>
      <c r="V117" s="5" t="s">
        <v>492</v>
      </c>
      <c r="W117">
        <v>176</v>
      </c>
      <c r="X117">
        <v>0</v>
      </c>
      <c r="Y117" s="5" t="s">
        <v>493</v>
      </c>
      <c r="Z117" t="s">
        <v>43</v>
      </c>
    </row>
    <row r="118" spans="1:26" x14ac:dyDescent="0.55000000000000004">
      <c r="A118" t="s">
        <v>339</v>
      </c>
      <c r="B118" t="str">
        <f t="shared" si="2"/>
        <v>2025_01_23</v>
      </c>
      <c r="C118" t="s">
        <v>222</v>
      </c>
      <c r="D118" s="3" t="s">
        <v>41</v>
      </c>
      <c r="F118" t="s">
        <v>25</v>
      </c>
      <c r="G118" t="s">
        <v>26</v>
      </c>
      <c r="H118" t="s">
        <v>27</v>
      </c>
      <c r="I118" t="s">
        <v>28</v>
      </c>
      <c r="J118" t="s">
        <v>29</v>
      </c>
      <c r="K118" t="s">
        <v>219</v>
      </c>
      <c r="L118" t="s">
        <v>494</v>
      </c>
      <c r="M118" t="s">
        <v>29</v>
      </c>
      <c r="N118" t="s">
        <v>30</v>
      </c>
      <c r="O118">
        <v>24</v>
      </c>
      <c r="P118">
        <v>30</v>
      </c>
      <c r="Q118">
        <v>22</v>
      </c>
      <c r="R118" t="s">
        <v>177</v>
      </c>
      <c r="S118" t="s">
        <v>46</v>
      </c>
      <c r="T118" s="2" t="s">
        <v>143</v>
      </c>
      <c r="U118" t="str">
        <f t="shared" si="3"/>
        <v>C:\Users\jordant\PycharmProjects\LCMS_RiPP\output_data_flasks\TJ-C-689_TJ-C-620_unique_sample_117</v>
      </c>
      <c r="V118" s="5" t="s">
        <v>497</v>
      </c>
      <c r="W118">
        <v>176</v>
      </c>
      <c r="X118">
        <v>0</v>
      </c>
      <c r="Y118" s="5" t="s">
        <v>498</v>
      </c>
      <c r="Z118" t="s">
        <v>43</v>
      </c>
    </row>
    <row r="119" spans="1:26" x14ac:dyDescent="0.55000000000000004">
      <c r="A119" t="s">
        <v>340</v>
      </c>
      <c r="B119" t="str">
        <f t="shared" si="2"/>
        <v>2025_02_06</v>
      </c>
      <c r="C119" t="s">
        <v>222</v>
      </c>
      <c r="D119" s="3" t="s">
        <v>41</v>
      </c>
      <c r="F119" t="s">
        <v>25</v>
      </c>
      <c r="G119" t="s">
        <v>26</v>
      </c>
      <c r="H119" t="s">
        <v>27</v>
      </c>
      <c r="I119" t="s">
        <v>28</v>
      </c>
      <c r="J119" t="s">
        <v>29</v>
      </c>
      <c r="K119" t="s">
        <v>219</v>
      </c>
      <c r="L119" t="s">
        <v>495</v>
      </c>
      <c r="M119" t="s">
        <v>29</v>
      </c>
      <c r="N119" t="s">
        <v>30</v>
      </c>
      <c r="O119">
        <v>24</v>
      </c>
      <c r="P119">
        <v>30</v>
      </c>
      <c r="Q119">
        <v>22</v>
      </c>
      <c r="R119" t="s">
        <v>177</v>
      </c>
      <c r="S119" t="s">
        <v>46</v>
      </c>
      <c r="T119" s="2" t="s">
        <v>171</v>
      </c>
      <c r="U119" t="str">
        <f t="shared" si="3"/>
        <v>C:\Users\jordant\PycharmProjects\LCMS_RiPP\output_data_flasks\TJ-C-689_TJ-C-620_unique_sample_118</v>
      </c>
      <c r="V119" s="5" t="s">
        <v>497</v>
      </c>
      <c r="W119">
        <v>176</v>
      </c>
      <c r="X119">
        <v>0</v>
      </c>
      <c r="Y119" s="5" t="s">
        <v>498</v>
      </c>
      <c r="Z119" t="s">
        <v>43</v>
      </c>
    </row>
    <row r="120" spans="1:26" x14ac:dyDescent="0.55000000000000004">
      <c r="A120" t="s">
        <v>341</v>
      </c>
      <c r="B120" t="str">
        <f t="shared" si="2"/>
        <v>2025_02_06</v>
      </c>
      <c r="C120" t="s">
        <v>222</v>
      </c>
      <c r="D120" s="3" t="s">
        <v>41</v>
      </c>
      <c r="F120" t="s">
        <v>25</v>
      </c>
      <c r="G120" t="s">
        <v>26</v>
      </c>
      <c r="H120" t="s">
        <v>27</v>
      </c>
      <c r="I120" t="s">
        <v>28</v>
      </c>
      <c r="J120" t="s">
        <v>29</v>
      </c>
      <c r="K120" t="s">
        <v>219</v>
      </c>
      <c r="L120" t="s">
        <v>496</v>
      </c>
      <c r="M120" t="s">
        <v>29</v>
      </c>
      <c r="N120" t="s">
        <v>30</v>
      </c>
      <c r="O120">
        <v>24</v>
      </c>
      <c r="P120">
        <v>30</v>
      </c>
      <c r="Q120">
        <v>22</v>
      </c>
      <c r="R120" t="s">
        <v>177</v>
      </c>
      <c r="S120" t="s">
        <v>46</v>
      </c>
      <c r="T120" s="2" t="s">
        <v>172</v>
      </c>
      <c r="U120" t="str">
        <f t="shared" si="3"/>
        <v>C:\Users\jordant\PycharmProjects\LCMS_RiPP\output_data_flasks\TJ-C-689_TJ-C-620_unique_sample_119</v>
      </c>
      <c r="V120" s="5" t="s">
        <v>497</v>
      </c>
      <c r="W120">
        <v>176</v>
      </c>
      <c r="X120">
        <v>0</v>
      </c>
      <c r="Y120" s="5" t="s">
        <v>498</v>
      </c>
      <c r="Z120" t="s">
        <v>43</v>
      </c>
    </row>
    <row r="121" spans="1:26" x14ac:dyDescent="0.55000000000000004">
      <c r="A121" t="s">
        <v>342</v>
      </c>
      <c r="B121" t="str">
        <f t="shared" si="2"/>
        <v>2025_01_23</v>
      </c>
      <c r="C121" t="s">
        <v>222</v>
      </c>
      <c r="D121" s="3" t="s">
        <v>41</v>
      </c>
      <c r="F121" t="s">
        <v>25</v>
      </c>
      <c r="G121" t="s">
        <v>26</v>
      </c>
      <c r="H121" t="s">
        <v>27</v>
      </c>
      <c r="I121" t="s">
        <v>28</v>
      </c>
      <c r="J121" t="s">
        <v>29</v>
      </c>
      <c r="K121" t="s">
        <v>178</v>
      </c>
      <c r="L121" t="s">
        <v>449</v>
      </c>
      <c r="M121" t="s">
        <v>29</v>
      </c>
      <c r="N121" t="s">
        <v>30</v>
      </c>
      <c r="O121">
        <v>24</v>
      </c>
      <c r="P121">
        <v>30</v>
      </c>
      <c r="Q121">
        <v>22</v>
      </c>
      <c r="R121" t="s">
        <v>44</v>
      </c>
      <c r="S121" t="s">
        <v>46</v>
      </c>
      <c r="T121" s="2" t="s">
        <v>144</v>
      </c>
      <c r="U121" t="str">
        <f t="shared" si="3"/>
        <v>C:\Users\jordant\PycharmProjects\LCMS_RiPP\output_data_flasks\TJ-C-689_TJ-C-693_unique_sample_120</v>
      </c>
      <c r="V121" s="5" t="s">
        <v>450</v>
      </c>
      <c r="W121">
        <v>183</v>
      </c>
      <c r="X121">
        <v>0</v>
      </c>
      <c r="Y121" s="5" t="s">
        <v>451</v>
      </c>
      <c r="Z121" t="s">
        <v>43</v>
      </c>
    </row>
    <row r="122" spans="1:26" x14ac:dyDescent="0.55000000000000004">
      <c r="A122" t="s">
        <v>343</v>
      </c>
      <c r="B122" t="str">
        <f t="shared" si="2"/>
        <v>2025_01_23</v>
      </c>
      <c r="C122" t="s">
        <v>222</v>
      </c>
      <c r="D122" s="3" t="s">
        <v>41</v>
      </c>
      <c r="F122" t="s">
        <v>25</v>
      </c>
      <c r="G122" t="s">
        <v>26</v>
      </c>
      <c r="H122" t="s">
        <v>27</v>
      </c>
      <c r="I122" t="s">
        <v>28</v>
      </c>
      <c r="J122" t="s">
        <v>29</v>
      </c>
      <c r="K122" t="s">
        <v>179</v>
      </c>
      <c r="L122" t="s">
        <v>452</v>
      </c>
      <c r="M122" t="s">
        <v>29</v>
      </c>
      <c r="N122" t="s">
        <v>30</v>
      </c>
      <c r="O122">
        <v>24</v>
      </c>
      <c r="P122">
        <v>30</v>
      </c>
      <c r="Q122">
        <v>22</v>
      </c>
      <c r="R122" t="s">
        <v>44</v>
      </c>
      <c r="S122" t="s">
        <v>46</v>
      </c>
      <c r="T122" s="2" t="s">
        <v>145</v>
      </c>
      <c r="U122" t="str">
        <f t="shared" si="3"/>
        <v>C:\Users\jordant\PycharmProjects\LCMS_RiPP\output_data_flasks\TJ-C-689_TJ-C-694_unique_sample_121</v>
      </c>
      <c r="V122" s="5" t="s">
        <v>453</v>
      </c>
      <c r="W122">
        <v>183</v>
      </c>
      <c r="X122">
        <v>0</v>
      </c>
      <c r="Y122" s="5" t="s">
        <v>454</v>
      </c>
      <c r="Z122" t="s">
        <v>43</v>
      </c>
    </row>
    <row r="123" spans="1:26" x14ac:dyDescent="0.55000000000000004">
      <c r="A123" t="s">
        <v>344</v>
      </c>
      <c r="B123" t="str">
        <f t="shared" si="2"/>
        <v>2025_01_23</v>
      </c>
      <c r="C123" t="s">
        <v>222</v>
      </c>
      <c r="D123" s="3" t="s">
        <v>41</v>
      </c>
      <c r="F123" t="s">
        <v>25</v>
      </c>
      <c r="G123" t="s">
        <v>26</v>
      </c>
      <c r="H123" t="s">
        <v>27</v>
      </c>
      <c r="I123" t="s">
        <v>28</v>
      </c>
      <c r="J123" t="s">
        <v>29</v>
      </c>
      <c r="K123" t="s">
        <v>180</v>
      </c>
      <c r="L123" t="s">
        <v>455</v>
      </c>
      <c r="M123" t="s">
        <v>29</v>
      </c>
      <c r="N123" t="s">
        <v>30</v>
      </c>
      <c r="O123">
        <v>24</v>
      </c>
      <c r="P123">
        <v>30</v>
      </c>
      <c r="Q123">
        <v>22</v>
      </c>
      <c r="R123" t="s">
        <v>44</v>
      </c>
      <c r="S123" t="s">
        <v>46</v>
      </c>
      <c r="T123" s="2" t="s">
        <v>146</v>
      </c>
      <c r="U123" t="str">
        <f t="shared" si="3"/>
        <v>C:\Users\jordant\PycharmProjects\LCMS_RiPP\output_data_flasks\TJ-C-689_TJ-C-695_unique_sample_122</v>
      </c>
      <c r="V123" s="5" t="s">
        <v>456</v>
      </c>
      <c r="W123">
        <v>183</v>
      </c>
      <c r="X123">
        <v>0</v>
      </c>
      <c r="Y123" s="5" t="s">
        <v>457</v>
      </c>
      <c r="Z123" t="s">
        <v>43</v>
      </c>
    </row>
    <row r="124" spans="1:26" x14ac:dyDescent="0.55000000000000004">
      <c r="A124" t="s">
        <v>345</v>
      </c>
      <c r="B124" t="str">
        <f t="shared" si="2"/>
        <v>2025_01_23</v>
      </c>
      <c r="C124" t="s">
        <v>222</v>
      </c>
      <c r="D124" s="3" t="s">
        <v>41</v>
      </c>
      <c r="F124" t="s">
        <v>25</v>
      </c>
      <c r="G124" t="s">
        <v>26</v>
      </c>
      <c r="H124" t="s">
        <v>27</v>
      </c>
      <c r="I124" t="s">
        <v>28</v>
      </c>
      <c r="J124" t="s">
        <v>29</v>
      </c>
      <c r="K124" t="s">
        <v>181</v>
      </c>
      <c r="L124" t="s">
        <v>458</v>
      </c>
      <c r="M124" t="s">
        <v>29</v>
      </c>
      <c r="N124" t="s">
        <v>30</v>
      </c>
      <c r="O124">
        <v>24</v>
      </c>
      <c r="P124">
        <v>30</v>
      </c>
      <c r="Q124">
        <v>22</v>
      </c>
      <c r="R124" t="s">
        <v>44</v>
      </c>
      <c r="S124" t="s">
        <v>46</v>
      </c>
      <c r="T124" s="2" t="s">
        <v>147</v>
      </c>
      <c r="U124" t="str">
        <f t="shared" si="3"/>
        <v>C:\Users\jordant\PycharmProjects\LCMS_RiPP\output_data_flasks\TJ-C-689_TJ-C-696_unique_sample_123</v>
      </c>
      <c r="V124" s="5" t="s">
        <v>459</v>
      </c>
      <c r="W124">
        <v>183</v>
      </c>
      <c r="X124">
        <v>0</v>
      </c>
      <c r="Y124" s="5" t="s">
        <v>460</v>
      </c>
      <c r="Z124" t="s">
        <v>43</v>
      </c>
    </row>
    <row r="125" spans="1:26" x14ac:dyDescent="0.55000000000000004">
      <c r="A125" t="s">
        <v>346</v>
      </c>
      <c r="B125" t="str">
        <f t="shared" si="2"/>
        <v>2025_01_23</v>
      </c>
      <c r="C125" t="s">
        <v>222</v>
      </c>
      <c r="D125" s="3" t="s">
        <v>41</v>
      </c>
      <c r="F125" t="s">
        <v>25</v>
      </c>
      <c r="G125" t="s">
        <v>26</v>
      </c>
      <c r="H125" t="s">
        <v>27</v>
      </c>
      <c r="I125" t="s">
        <v>28</v>
      </c>
      <c r="J125" t="s">
        <v>29</v>
      </c>
      <c r="K125" t="s">
        <v>38</v>
      </c>
      <c r="L125" t="s">
        <v>499</v>
      </c>
      <c r="M125" t="s">
        <v>29</v>
      </c>
      <c r="N125" t="s">
        <v>30</v>
      </c>
      <c r="O125">
        <v>24</v>
      </c>
      <c r="P125">
        <v>30</v>
      </c>
      <c r="Q125">
        <v>22</v>
      </c>
      <c r="R125" t="s">
        <v>44</v>
      </c>
      <c r="S125" t="s">
        <v>46</v>
      </c>
      <c r="T125" s="2" t="s">
        <v>148</v>
      </c>
      <c r="U125" t="str">
        <f t="shared" si="3"/>
        <v>C:\Users\jordant\PycharmProjects\LCMS_RiPP\output_data_flasks\TJ-C-689_TJ-C-706_unique_sample_124</v>
      </c>
      <c r="V125" s="5" t="s">
        <v>500</v>
      </c>
      <c r="W125">
        <v>209</v>
      </c>
      <c r="X125">
        <v>0</v>
      </c>
      <c r="Y125" s="5" t="s">
        <v>501</v>
      </c>
      <c r="Z125" t="s">
        <v>43</v>
      </c>
    </row>
    <row r="126" spans="1:26" x14ac:dyDescent="0.55000000000000004">
      <c r="A126" t="s">
        <v>347</v>
      </c>
      <c r="B126" t="str">
        <f t="shared" si="2"/>
        <v>2025_01_23</v>
      </c>
      <c r="C126" t="s">
        <v>222</v>
      </c>
      <c r="D126" s="3" t="s">
        <v>41</v>
      </c>
      <c r="F126" t="s">
        <v>25</v>
      </c>
      <c r="G126" t="s">
        <v>26</v>
      </c>
      <c r="H126" t="s">
        <v>27</v>
      </c>
      <c r="I126" t="s">
        <v>28</v>
      </c>
      <c r="J126" t="s">
        <v>29</v>
      </c>
      <c r="K126" t="s">
        <v>186</v>
      </c>
      <c r="L126" t="s">
        <v>502</v>
      </c>
      <c r="M126" t="s">
        <v>29</v>
      </c>
      <c r="N126" t="s">
        <v>30</v>
      </c>
      <c r="O126">
        <v>24</v>
      </c>
      <c r="P126">
        <v>30</v>
      </c>
      <c r="Q126">
        <v>22</v>
      </c>
      <c r="R126" t="s">
        <v>44</v>
      </c>
      <c r="S126" t="s">
        <v>46</v>
      </c>
      <c r="T126" s="2" t="s">
        <v>149</v>
      </c>
      <c r="U126" t="str">
        <f t="shared" si="3"/>
        <v>C:\Users\jordant\PycharmProjects\LCMS_RiPP\output_data_flasks\TJ-C-689_TJ-C-707_unique_sample_125</v>
      </c>
      <c r="V126" s="5" t="s">
        <v>503</v>
      </c>
      <c r="W126">
        <v>346</v>
      </c>
      <c r="X126">
        <v>0</v>
      </c>
      <c r="Y126" s="5" t="s">
        <v>504</v>
      </c>
      <c r="Z126" t="s">
        <v>43</v>
      </c>
    </row>
    <row r="127" spans="1:26" x14ac:dyDescent="0.55000000000000004">
      <c r="A127" t="s">
        <v>348</v>
      </c>
      <c r="B127" t="str">
        <f t="shared" si="2"/>
        <v>2025_01_23</v>
      </c>
      <c r="C127" t="s">
        <v>222</v>
      </c>
      <c r="D127" s="3" t="s">
        <v>41</v>
      </c>
      <c r="F127" t="s">
        <v>25</v>
      </c>
      <c r="G127" t="s">
        <v>26</v>
      </c>
      <c r="H127" t="s">
        <v>27</v>
      </c>
      <c r="I127" t="s">
        <v>28</v>
      </c>
      <c r="J127" t="s">
        <v>29</v>
      </c>
      <c r="K127" t="s">
        <v>187</v>
      </c>
      <c r="L127" t="s">
        <v>505</v>
      </c>
      <c r="M127" t="s">
        <v>29</v>
      </c>
      <c r="N127" t="s">
        <v>30</v>
      </c>
      <c r="O127">
        <v>24</v>
      </c>
      <c r="P127">
        <v>30</v>
      </c>
      <c r="Q127">
        <v>22</v>
      </c>
      <c r="R127" t="s">
        <v>44</v>
      </c>
      <c r="S127" t="s">
        <v>46</v>
      </c>
      <c r="T127" s="2" t="s">
        <v>150</v>
      </c>
      <c r="U127" t="str">
        <f t="shared" si="3"/>
        <v>C:\Users\jordant\PycharmProjects\LCMS_RiPP\output_data_flasks\TJ-C-689_TJ-C-708_unique_sample_126</v>
      </c>
      <c r="V127" s="5" t="s">
        <v>506</v>
      </c>
      <c r="W127">
        <v>488</v>
      </c>
      <c r="X127">
        <v>0</v>
      </c>
      <c r="Y127" s="5" t="s">
        <v>507</v>
      </c>
      <c r="Z127" t="s">
        <v>43</v>
      </c>
    </row>
    <row r="128" spans="1:26" x14ac:dyDescent="0.55000000000000004">
      <c r="A128" t="s">
        <v>349</v>
      </c>
      <c r="B128" t="str">
        <f t="shared" si="2"/>
        <v>2025_12_17</v>
      </c>
      <c r="C128" t="s">
        <v>222</v>
      </c>
      <c r="D128" s="3" t="s">
        <v>41</v>
      </c>
      <c r="F128" t="s">
        <v>25</v>
      </c>
      <c r="G128" t="s">
        <v>26</v>
      </c>
      <c r="H128" t="s">
        <v>27</v>
      </c>
      <c r="I128" t="s">
        <v>28</v>
      </c>
      <c r="J128" t="s">
        <v>29</v>
      </c>
      <c r="K128" t="s">
        <v>212</v>
      </c>
      <c r="L128" t="s">
        <v>432</v>
      </c>
      <c r="M128" t="s">
        <v>29</v>
      </c>
      <c r="N128" t="s">
        <v>30</v>
      </c>
      <c r="O128">
        <v>24</v>
      </c>
      <c r="P128">
        <v>30</v>
      </c>
      <c r="Q128">
        <v>22</v>
      </c>
      <c r="R128" t="s">
        <v>44</v>
      </c>
      <c r="S128" t="s">
        <v>46</v>
      </c>
      <c r="T128" s="2" t="s">
        <v>173</v>
      </c>
      <c r="U128" t="str">
        <f t="shared" si="3"/>
        <v>C:\Users\jordant\PycharmProjects\LCMS_RiPP\output_data_flasks\TJ-C-689_TJ-C-679_unique_sample_127</v>
      </c>
      <c r="V128" s="5" t="s">
        <v>435</v>
      </c>
      <c r="W128">
        <v>183</v>
      </c>
      <c r="X128">
        <v>0</v>
      </c>
      <c r="Y128" s="5" t="s">
        <v>436</v>
      </c>
      <c r="Z128" t="s">
        <v>43</v>
      </c>
    </row>
    <row r="129" spans="1:26" x14ac:dyDescent="0.55000000000000004">
      <c r="A129" t="s">
        <v>350</v>
      </c>
      <c r="B129" t="str">
        <f t="shared" si="2"/>
        <v>2025_12_17</v>
      </c>
      <c r="C129" t="s">
        <v>222</v>
      </c>
      <c r="D129" s="3" t="s">
        <v>41</v>
      </c>
      <c r="F129" t="s">
        <v>25</v>
      </c>
      <c r="G129" t="s">
        <v>26</v>
      </c>
      <c r="H129" t="s">
        <v>27</v>
      </c>
      <c r="I129" t="s">
        <v>28</v>
      </c>
      <c r="J129" t="s">
        <v>29</v>
      </c>
      <c r="K129" t="s">
        <v>212</v>
      </c>
      <c r="L129" t="s">
        <v>432</v>
      </c>
      <c r="M129" t="s">
        <v>29</v>
      </c>
      <c r="N129" t="s">
        <v>30</v>
      </c>
      <c r="O129">
        <v>24</v>
      </c>
      <c r="P129">
        <v>30</v>
      </c>
      <c r="Q129">
        <v>22</v>
      </c>
      <c r="R129" t="s">
        <v>44</v>
      </c>
      <c r="S129" t="s">
        <v>46</v>
      </c>
      <c r="T129" s="2" t="s">
        <v>174</v>
      </c>
      <c r="U129" t="str">
        <f t="shared" si="3"/>
        <v>C:\Users\jordant\PycharmProjects\LCMS_RiPP\output_data_flasks\TJ-C-689_TJ-C-679_unique_sample_128</v>
      </c>
      <c r="V129" s="5" t="s">
        <v>435</v>
      </c>
      <c r="W129">
        <v>183</v>
      </c>
      <c r="X129">
        <v>0</v>
      </c>
      <c r="Y129" s="5" t="s">
        <v>436</v>
      </c>
      <c r="Z129" t="s">
        <v>43</v>
      </c>
    </row>
    <row r="130" spans="1:26" x14ac:dyDescent="0.55000000000000004">
      <c r="A130" t="s">
        <v>351</v>
      </c>
      <c r="B130" t="str">
        <f t="shared" si="2"/>
        <v>2025_12_17</v>
      </c>
      <c r="C130" t="s">
        <v>222</v>
      </c>
      <c r="D130" s="3" t="s">
        <v>41</v>
      </c>
      <c r="F130" t="s">
        <v>25</v>
      </c>
      <c r="G130" t="s">
        <v>26</v>
      </c>
      <c r="H130" t="s">
        <v>27</v>
      </c>
      <c r="I130" t="s">
        <v>28</v>
      </c>
      <c r="J130" t="s">
        <v>29</v>
      </c>
      <c r="K130" t="s">
        <v>212</v>
      </c>
      <c r="L130" t="s">
        <v>432</v>
      </c>
      <c r="M130" t="s">
        <v>29</v>
      </c>
      <c r="N130" t="s">
        <v>30</v>
      </c>
      <c r="O130">
        <v>24</v>
      </c>
      <c r="P130">
        <v>30</v>
      </c>
      <c r="Q130">
        <v>22</v>
      </c>
      <c r="R130" t="s">
        <v>44</v>
      </c>
      <c r="S130" t="s">
        <v>46</v>
      </c>
      <c r="T130" s="2" t="s">
        <v>175</v>
      </c>
      <c r="U130" t="str">
        <f t="shared" si="3"/>
        <v>C:\Users\jordant\PycharmProjects\LCMS_RiPP\output_data_flasks\TJ-C-689_TJ-C-679_unique_sample_129</v>
      </c>
      <c r="V130" s="5" t="s">
        <v>435</v>
      </c>
      <c r="W130">
        <v>183</v>
      </c>
      <c r="X130">
        <v>0</v>
      </c>
      <c r="Y130" s="5" t="s">
        <v>436</v>
      </c>
      <c r="Z130" t="s">
        <v>43</v>
      </c>
    </row>
    <row r="131" spans="1:26" x14ac:dyDescent="0.55000000000000004">
      <c r="A131" t="s">
        <v>352</v>
      </c>
      <c r="B131" t="str">
        <f t="shared" ref="B131" si="4">LEFT(T131,10)</f>
        <v>2025_12_17</v>
      </c>
      <c r="C131" t="s">
        <v>222</v>
      </c>
      <c r="D131" s="3" t="s">
        <v>41</v>
      </c>
      <c r="F131" t="s">
        <v>25</v>
      </c>
      <c r="G131" t="s">
        <v>26</v>
      </c>
      <c r="H131" t="s">
        <v>27</v>
      </c>
      <c r="I131" t="s">
        <v>28</v>
      </c>
      <c r="J131" t="s">
        <v>29</v>
      </c>
      <c r="K131" t="s">
        <v>212</v>
      </c>
      <c r="L131" t="s">
        <v>432</v>
      </c>
      <c r="M131" t="s">
        <v>29</v>
      </c>
      <c r="N131" t="s">
        <v>30</v>
      </c>
      <c r="O131">
        <v>24</v>
      </c>
      <c r="P131">
        <v>30</v>
      </c>
      <c r="Q131">
        <v>22</v>
      </c>
      <c r="R131" t="s">
        <v>44</v>
      </c>
      <c r="S131" t="s">
        <v>46</v>
      </c>
      <c r="T131" s="2" t="s">
        <v>176</v>
      </c>
      <c r="U131" t="str">
        <f t="shared" ref="U131" si="5">_xlfn.CONCAT("C:\Users\jordant\PycharmProjects\LCMS_RiPP\output_data_flasks","\",H131,"_",K131,"_",A131)</f>
        <v>C:\Users\jordant\PycharmProjects\LCMS_RiPP\output_data_flasks\TJ-C-689_TJ-C-679_unique_sample_130</v>
      </c>
      <c r="V131" s="5" t="s">
        <v>435</v>
      </c>
      <c r="W131">
        <v>183</v>
      </c>
      <c r="X131">
        <v>0</v>
      </c>
      <c r="Y131" s="5" t="s">
        <v>436</v>
      </c>
      <c r="Z131" t="s">
        <v>43</v>
      </c>
    </row>
    <row r="132" spans="1:26" x14ac:dyDescent="0.55000000000000004">
      <c r="D132" s="3"/>
      <c r="T132" s="2"/>
    </row>
    <row r="133" spans="1:26" x14ac:dyDescent="0.55000000000000004">
      <c r="D133" s="3"/>
      <c r="T133" s="2"/>
    </row>
    <row r="134" spans="1:26" x14ac:dyDescent="0.55000000000000004">
      <c r="D134" s="3"/>
      <c r="T134" s="2"/>
    </row>
    <row r="135" spans="1:26" x14ac:dyDescent="0.55000000000000004">
      <c r="D135" s="3"/>
      <c r="T135" s="2"/>
    </row>
    <row r="136" spans="1:26" x14ac:dyDescent="0.55000000000000004">
      <c r="D136" s="3"/>
      <c r="T136" s="2"/>
    </row>
    <row r="137" spans="1:26" x14ac:dyDescent="0.55000000000000004">
      <c r="D137" s="3"/>
      <c r="T137" s="2"/>
    </row>
    <row r="138" spans="1:26" x14ac:dyDescent="0.55000000000000004">
      <c r="D138" s="3"/>
      <c r="T138" s="2"/>
    </row>
    <row r="139" spans="1:26" x14ac:dyDescent="0.55000000000000004">
      <c r="D139" s="3"/>
      <c r="T139" s="2"/>
    </row>
    <row r="140" spans="1:26" x14ac:dyDescent="0.55000000000000004">
      <c r="D140" s="3"/>
      <c r="T140" s="2"/>
    </row>
    <row r="141" spans="1:26" x14ac:dyDescent="0.55000000000000004">
      <c r="D141" s="3"/>
      <c r="T141" s="2"/>
    </row>
    <row r="142" spans="1:26" x14ac:dyDescent="0.55000000000000004">
      <c r="D142" s="3"/>
      <c r="T142" s="2"/>
    </row>
    <row r="143" spans="1:26" x14ac:dyDescent="0.55000000000000004">
      <c r="D143" s="3"/>
      <c r="T143" s="2"/>
    </row>
    <row r="144" spans="1:26" x14ac:dyDescent="0.55000000000000004">
      <c r="D144" s="3"/>
      <c r="T144" s="2"/>
    </row>
    <row r="145" spans="4:20" x14ac:dyDescent="0.55000000000000004">
      <c r="D145" s="3"/>
      <c r="T145" s="2"/>
    </row>
    <row r="146" spans="4:20" x14ac:dyDescent="0.55000000000000004">
      <c r="D146" s="3"/>
      <c r="T146" s="2"/>
    </row>
    <row r="147" spans="4:20" x14ac:dyDescent="0.55000000000000004">
      <c r="D147" s="3"/>
      <c r="T147" s="2"/>
    </row>
    <row r="148" spans="4:20" x14ac:dyDescent="0.55000000000000004">
      <c r="D148" s="3"/>
      <c r="T148" s="2"/>
    </row>
    <row r="149" spans="4:20" x14ac:dyDescent="0.55000000000000004">
      <c r="D149" s="3"/>
      <c r="T149" s="2"/>
    </row>
    <row r="150" spans="4:20" x14ac:dyDescent="0.55000000000000004">
      <c r="D150" s="3"/>
      <c r="T150" s="2"/>
    </row>
    <row r="151" spans="4:20" x14ac:dyDescent="0.55000000000000004">
      <c r="D151" s="3"/>
      <c r="T151" s="2"/>
    </row>
    <row r="152" spans="4:20" x14ac:dyDescent="0.55000000000000004">
      <c r="D152" s="3"/>
      <c r="T152" s="2"/>
    </row>
    <row r="153" spans="4:20" x14ac:dyDescent="0.55000000000000004">
      <c r="D153" s="3"/>
      <c r="T153" s="2"/>
    </row>
    <row r="154" spans="4:20" x14ac:dyDescent="0.55000000000000004">
      <c r="D154" s="3"/>
      <c r="T154" s="2"/>
    </row>
    <row r="155" spans="4:20" x14ac:dyDescent="0.55000000000000004">
      <c r="D155" s="3"/>
      <c r="T155" s="2"/>
    </row>
    <row r="156" spans="4:20" x14ac:dyDescent="0.55000000000000004">
      <c r="D156" s="3"/>
      <c r="T156" s="2"/>
    </row>
    <row r="157" spans="4:20" x14ac:dyDescent="0.55000000000000004">
      <c r="D157" s="3"/>
      <c r="T157" s="2"/>
    </row>
    <row r="158" spans="4:20" x14ac:dyDescent="0.55000000000000004">
      <c r="D158" s="3"/>
      <c r="T158" s="2"/>
    </row>
    <row r="159" spans="4:20" x14ac:dyDescent="0.55000000000000004">
      <c r="D159" s="3"/>
      <c r="T159" s="2"/>
    </row>
    <row r="160" spans="4:20" x14ac:dyDescent="0.55000000000000004">
      <c r="D160" s="3"/>
      <c r="T160" s="2"/>
    </row>
    <row r="161" spans="4:20" x14ac:dyDescent="0.55000000000000004">
      <c r="D161" s="3"/>
      <c r="T161" s="2"/>
    </row>
    <row r="162" spans="4:20" x14ac:dyDescent="0.55000000000000004">
      <c r="D162" s="3"/>
      <c r="T162" s="2"/>
    </row>
    <row r="163" spans="4:20" x14ac:dyDescent="0.55000000000000004">
      <c r="D163" s="3"/>
      <c r="T163" s="2"/>
    </row>
    <row r="164" spans="4:20" x14ac:dyDescent="0.55000000000000004">
      <c r="D164" s="3"/>
      <c r="T164" s="2"/>
    </row>
    <row r="165" spans="4:20" x14ac:dyDescent="0.55000000000000004">
      <c r="D165" s="3"/>
      <c r="T165" s="2"/>
    </row>
    <row r="166" spans="4:20" x14ac:dyDescent="0.55000000000000004">
      <c r="D166" s="3"/>
      <c r="T166" s="2"/>
    </row>
    <row r="167" spans="4:20" x14ac:dyDescent="0.55000000000000004">
      <c r="D167" s="3"/>
      <c r="T167" s="2"/>
    </row>
    <row r="168" spans="4:20" x14ac:dyDescent="0.55000000000000004">
      <c r="D168" s="3"/>
      <c r="T168" s="2"/>
    </row>
    <row r="169" spans="4:20" x14ac:dyDescent="0.55000000000000004">
      <c r="D169" s="3"/>
      <c r="T169" s="2"/>
    </row>
    <row r="170" spans="4:20" x14ac:dyDescent="0.55000000000000004">
      <c r="D170" s="3"/>
      <c r="T170" s="2"/>
    </row>
    <row r="171" spans="4:20" x14ac:dyDescent="0.55000000000000004">
      <c r="D171" s="3"/>
      <c r="T171" s="2"/>
    </row>
    <row r="172" spans="4:20" x14ac:dyDescent="0.55000000000000004">
      <c r="D172" s="3"/>
      <c r="T172" s="2"/>
    </row>
    <row r="173" spans="4:20" x14ac:dyDescent="0.55000000000000004">
      <c r="D173" s="3"/>
      <c r="T173" s="2"/>
    </row>
    <row r="174" spans="4:20" x14ac:dyDescent="0.55000000000000004">
      <c r="D174" s="3"/>
      <c r="T174" s="2"/>
    </row>
    <row r="175" spans="4:20" x14ac:dyDescent="0.55000000000000004">
      <c r="D175" s="3"/>
      <c r="T175" s="2"/>
    </row>
    <row r="176" spans="4:20" x14ac:dyDescent="0.55000000000000004">
      <c r="D176" s="3"/>
      <c r="T176" s="2"/>
    </row>
    <row r="177" spans="4:20" x14ac:dyDescent="0.55000000000000004">
      <c r="D177" s="3"/>
      <c r="T177" s="2"/>
    </row>
    <row r="178" spans="4:20" x14ac:dyDescent="0.55000000000000004">
      <c r="D178" s="3"/>
      <c r="T178" s="2"/>
    </row>
    <row r="179" spans="4:20" x14ac:dyDescent="0.55000000000000004">
      <c r="D179" s="3"/>
      <c r="T179" s="2"/>
    </row>
    <row r="180" spans="4:20" x14ac:dyDescent="0.55000000000000004">
      <c r="D180" s="3"/>
      <c r="T180" s="2"/>
    </row>
    <row r="181" spans="4:20" x14ac:dyDescent="0.55000000000000004">
      <c r="D181" s="3"/>
      <c r="T181" s="2"/>
    </row>
    <row r="182" spans="4:20" x14ac:dyDescent="0.55000000000000004">
      <c r="D182" s="3"/>
      <c r="T182" s="2"/>
    </row>
    <row r="183" spans="4:20" x14ac:dyDescent="0.55000000000000004">
      <c r="D183" s="3"/>
      <c r="T183" s="2"/>
    </row>
    <row r="184" spans="4:20" x14ac:dyDescent="0.55000000000000004">
      <c r="D184" s="3"/>
      <c r="T184" s="2"/>
    </row>
    <row r="185" spans="4:20" x14ac:dyDescent="0.55000000000000004">
      <c r="D185" s="3"/>
      <c r="T185" s="2"/>
    </row>
    <row r="186" spans="4:20" x14ac:dyDescent="0.55000000000000004">
      <c r="D186" s="3"/>
      <c r="T186" s="2"/>
    </row>
    <row r="187" spans="4:20" x14ac:dyDescent="0.55000000000000004">
      <c r="D187" s="3"/>
      <c r="T187" s="2"/>
    </row>
    <row r="188" spans="4:20" x14ac:dyDescent="0.55000000000000004">
      <c r="D188" s="3"/>
      <c r="T188" s="2"/>
    </row>
    <row r="189" spans="4:20" x14ac:dyDescent="0.55000000000000004">
      <c r="D189" s="3"/>
      <c r="T189" s="2"/>
    </row>
    <row r="190" spans="4:20" x14ac:dyDescent="0.55000000000000004">
      <c r="D190" s="3"/>
      <c r="T190" s="2"/>
    </row>
    <row r="191" spans="4:20" x14ac:dyDescent="0.55000000000000004">
      <c r="D191" s="3"/>
      <c r="T191" s="2"/>
    </row>
    <row r="192" spans="4:20" x14ac:dyDescent="0.55000000000000004">
      <c r="D192" s="3"/>
      <c r="T192" s="2"/>
    </row>
    <row r="193" spans="4:20" x14ac:dyDescent="0.55000000000000004">
      <c r="D193" s="3"/>
      <c r="T193" s="2"/>
    </row>
    <row r="194" spans="4:20" x14ac:dyDescent="0.55000000000000004">
      <c r="D194" s="3"/>
      <c r="T194" s="2"/>
    </row>
    <row r="195" spans="4:20" x14ac:dyDescent="0.55000000000000004">
      <c r="D195" s="3"/>
      <c r="T195" s="2"/>
    </row>
    <row r="196" spans="4:20" x14ac:dyDescent="0.55000000000000004">
      <c r="D196" s="3"/>
      <c r="T196" s="2"/>
    </row>
    <row r="197" spans="4:20" x14ac:dyDescent="0.55000000000000004">
      <c r="D197" s="3"/>
      <c r="T197" s="2"/>
    </row>
    <row r="198" spans="4:20" x14ac:dyDescent="0.55000000000000004">
      <c r="D198" s="3"/>
      <c r="T198" s="2"/>
    </row>
    <row r="199" spans="4:20" x14ac:dyDescent="0.55000000000000004">
      <c r="D199" s="3"/>
      <c r="T199" s="2"/>
    </row>
    <row r="200" spans="4:20" x14ac:dyDescent="0.55000000000000004">
      <c r="D200" s="3"/>
      <c r="T200" s="2"/>
    </row>
    <row r="201" spans="4:20" x14ac:dyDescent="0.55000000000000004">
      <c r="D201" s="3"/>
      <c r="T201" s="2"/>
    </row>
    <row r="202" spans="4:20" x14ac:dyDescent="0.55000000000000004">
      <c r="D202" s="3"/>
      <c r="T202" s="2"/>
    </row>
    <row r="203" spans="4:20" x14ac:dyDescent="0.55000000000000004">
      <c r="D203" s="3"/>
      <c r="T203" s="2"/>
    </row>
    <row r="204" spans="4:20" x14ac:dyDescent="0.55000000000000004">
      <c r="D204" s="3"/>
      <c r="T204" s="2"/>
    </row>
    <row r="205" spans="4:20" x14ac:dyDescent="0.55000000000000004">
      <c r="D205" s="3"/>
      <c r="T205" s="2"/>
    </row>
    <row r="206" spans="4:20" x14ac:dyDescent="0.55000000000000004">
      <c r="D206" s="3"/>
      <c r="T206" s="2"/>
    </row>
    <row r="207" spans="4:20" x14ac:dyDescent="0.55000000000000004">
      <c r="D207" s="3"/>
      <c r="T207" s="2"/>
    </row>
    <row r="208" spans="4:20" x14ac:dyDescent="0.55000000000000004">
      <c r="D208" s="3"/>
      <c r="T208" s="2"/>
    </row>
    <row r="209" spans="4:20" x14ac:dyDescent="0.55000000000000004">
      <c r="D209" s="3"/>
      <c r="T209" s="2"/>
    </row>
    <row r="210" spans="4:20" x14ac:dyDescent="0.55000000000000004">
      <c r="D210" s="3"/>
      <c r="T210" s="2"/>
    </row>
    <row r="211" spans="4:20" x14ac:dyDescent="0.55000000000000004">
      <c r="D211" s="3"/>
      <c r="T211" s="2"/>
    </row>
    <row r="212" spans="4:20" x14ac:dyDescent="0.55000000000000004">
      <c r="D212" s="3"/>
      <c r="T212" s="2"/>
    </row>
    <row r="213" spans="4:20" x14ac:dyDescent="0.55000000000000004">
      <c r="D213" s="3"/>
      <c r="T213" s="2"/>
    </row>
    <row r="214" spans="4:20" x14ac:dyDescent="0.55000000000000004">
      <c r="D214" s="3"/>
      <c r="T214" s="2"/>
    </row>
    <row r="215" spans="4:20" x14ac:dyDescent="0.55000000000000004">
      <c r="D215" s="3"/>
      <c r="T215" s="2"/>
    </row>
    <row r="216" spans="4:20" x14ac:dyDescent="0.55000000000000004">
      <c r="D216" s="3"/>
      <c r="T216" s="2"/>
    </row>
    <row r="217" spans="4:20" x14ac:dyDescent="0.55000000000000004">
      <c r="D217" s="3"/>
      <c r="T217" s="2"/>
    </row>
    <row r="218" spans="4:20" x14ac:dyDescent="0.55000000000000004">
      <c r="D218" s="3"/>
      <c r="T218" s="2"/>
    </row>
    <row r="219" spans="4:20" x14ac:dyDescent="0.55000000000000004">
      <c r="D219" s="3"/>
      <c r="T219" s="2"/>
    </row>
    <row r="220" spans="4:20" x14ac:dyDescent="0.55000000000000004">
      <c r="D220" s="3"/>
      <c r="T220" s="2"/>
    </row>
    <row r="221" spans="4:20" x14ac:dyDescent="0.55000000000000004">
      <c r="D221" s="3"/>
      <c r="T221" s="2"/>
    </row>
    <row r="222" spans="4:20" x14ac:dyDescent="0.55000000000000004">
      <c r="D222" s="3"/>
      <c r="T222" s="2"/>
    </row>
    <row r="223" spans="4:20" x14ac:dyDescent="0.55000000000000004">
      <c r="D223" s="3"/>
      <c r="T223" s="2"/>
    </row>
    <row r="224" spans="4:20" x14ac:dyDescent="0.55000000000000004">
      <c r="D224" s="3"/>
      <c r="T224" s="2"/>
    </row>
    <row r="225" spans="4:20" x14ac:dyDescent="0.55000000000000004">
      <c r="D225" s="3"/>
      <c r="T225" s="2"/>
    </row>
    <row r="226" spans="4:20" x14ac:dyDescent="0.55000000000000004">
      <c r="D226" s="3"/>
      <c r="T226" s="2"/>
    </row>
    <row r="227" spans="4:20" x14ac:dyDescent="0.55000000000000004">
      <c r="D227" s="3"/>
      <c r="T227" s="2"/>
    </row>
    <row r="228" spans="4:20" x14ac:dyDescent="0.55000000000000004">
      <c r="D228" s="3"/>
      <c r="T228" s="2"/>
    </row>
    <row r="229" spans="4:20" x14ac:dyDescent="0.55000000000000004">
      <c r="D229" s="3"/>
      <c r="T229" s="2"/>
    </row>
    <row r="230" spans="4:20" x14ac:dyDescent="0.55000000000000004">
      <c r="D230" s="3"/>
      <c r="T230" s="2"/>
    </row>
    <row r="231" spans="4:20" x14ac:dyDescent="0.55000000000000004">
      <c r="D231" s="3"/>
      <c r="T231" s="2"/>
    </row>
    <row r="232" spans="4:20" x14ac:dyDescent="0.55000000000000004">
      <c r="D232" s="3"/>
      <c r="T232" s="2"/>
    </row>
    <row r="233" spans="4:20" x14ac:dyDescent="0.55000000000000004">
      <c r="D233" s="3"/>
      <c r="T233" s="2"/>
    </row>
    <row r="234" spans="4:20" x14ac:dyDescent="0.55000000000000004">
      <c r="D234" s="3"/>
      <c r="T234" s="2"/>
    </row>
    <row r="235" spans="4:20" x14ac:dyDescent="0.55000000000000004">
      <c r="D235" s="3"/>
      <c r="T235" s="2"/>
    </row>
    <row r="236" spans="4:20" x14ac:dyDescent="0.55000000000000004">
      <c r="D236" s="3"/>
      <c r="T236" s="2"/>
    </row>
    <row r="237" spans="4:20" x14ac:dyDescent="0.55000000000000004">
      <c r="D237" s="3"/>
      <c r="T237" s="2"/>
    </row>
    <row r="238" spans="4:20" x14ac:dyDescent="0.55000000000000004">
      <c r="D238" s="3"/>
      <c r="T238" s="2"/>
    </row>
    <row r="239" spans="4:20" x14ac:dyDescent="0.55000000000000004">
      <c r="D239" s="3"/>
      <c r="T239" s="2"/>
    </row>
    <row r="240" spans="4:20" x14ac:dyDescent="0.55000000000000004">
      <c r="D240" s="3"/>
      <c r="T240" s="2"/>
    </row>
    <row r="241" spans="4:20" x14ac:dyDescent="0.55000000000000004">
      <c r="D241" s="3"/>
      <c r="T241" s="2"/>
    </row>
    <row r="242" spans="4:20" x14ac:dyDescent="0.55000000000000004">
      <c r="D242" s="3"/>
      <c r="T242" s="2"/>
    </row>
    <row r="243" spans="4:20" x14ac:dyDescent="0.55000000000000004">
      <c r="D243" s="3"/>
      <c r="T243" s="2"/>
    </row>
    <row r="244" spans="4:20" x14ac:dyDescent="0.55000000000000004">
      <c r="D244" s="3"/>
      <c r="T244" s="2"/>
    </row>
    <row r="245" spans="4:20" x14ac:dyDescent="0.55000000000000004">
      <c r="D245" s="3"/>
      <c r="T245" s="2"/>
    </row>
    <row r="246" spans="4:20" x14ac:dyDescent="0.55000000000000004">
      <c r="D246" s="3"/>
      <c r="T246" s="2"/>
    </row>
    <row r="247" spans="4:20" x14ac:dyDescent="0.55000000000000004">
      <c r="D247" s="3"/>
      <c r="T247" s="2"/>
    </row>
    <row r="248" spans="4:20" x14ac:dyDescent="0.55000000000000004">
      <c r="D248" s="3"/>
      <c r="T248" s="2"/>
    </row>
    <row r="249" spans="4:20" x14ac:dyDescent="0.55000000000000004">
      <c r="D249" s="3"/>
      <c r="T249" s="2"/>
    </row>
    <row r="250" spans="4:20" x14ac:dyDescent="0.55000000000000004">
      <c r="D250" s="3"/>
      <c r="T250" s="2"/>
    </row>
    <row r="251" spans="4:20" x14ac:dyDescent="0.55000000000000004">
      <c r="D251" s="3"/>
      <c r="T251" s="2"/>
    </row>
    <row r="252" spans="4:20" x14ac:dyDescent="0.55000000000000004">
      <c r="D252" s="3"/>
      <c r="T252" s="2"/>
    </row>
    <row r="253" spans="4:20" x14ac:dyDescent="0.55000000000000004">
      <c r="D253" s="3"/>
      <c r="T253" s="2"/>
    </row>
    <row r="254" spans="4:20" x14ac:dyDescent="0.55000000000000004">
      <c r="D254" s="3"/>
      <c r="T254" s="2"/>
    </row>
    <row r="255" spans="4:20" x14ac:dyDescent="0.55000000000000004">
      <c r="D255" s="3"/>
      <c r="T255" s="2"/>
    </row>
    <row r="256" spans="4:20" x14ac:dyDescent="0.55000000000000004">
      <c r="D256" s="3"/>
      <c r="T256" s="2"/>
    </row>
    <row r="257" spans="4:20" x14ac:dyDescent="0.55000000000000004">
      <c r="D257" s="3"/>
      <c r="T257" s="2"/>
    </row>
    <row r="258" spans="4:20" x14ac:dyDescent="0.55000000000000004">
      <c r="D258" s="3"/>
      <c r="T258" s="2"/>
    </row>
    <row r="259" spans="4:20" x14ac:dyDescent="0.55000000000000004">
      <c r="D259" s="3"/>
      <c r="T259" s="2"/>
    </row>
    <row r="260" spans="4:20" x14ac:dyDescent="0.55000000000000004">
      <c r="D260" s="3"/>
      <c r="T260" s="2"/>
    </row>
    <row r="261" spans="4:20" x14ac:dyDescent="0.55000000000000004">
      <c r="D261" s="3"/>
      <c r="T261" s="2"/>
    </row>
    <row r="262" spans="4:20" x14ac:dyDescent="0.55000000000000004">
      <c r="D262" s="3"/>
      <c r="T262" s="2"/>
    </row>
    <row r="263" spans="4:20" x14ac:dyDescent="0.55000000000000004">
      <c r="D263" s="3"/>
      <c r="T263" s="2"/>
    </row>
    <row r="264" spans="4:20" x14ac:dyDescent="0.55000000000000004">
      <c r="D264" s="3"/>
      <c r="T264" s="2"/>
    </row>
    <row r="265" spans="4:20" x14ac:dyDescent="0.55000000000000004">
      <c r="D265" s="3"/>
      <c r="T265" s="2"/>
    </row>
    <row r="266" spans="4:20" x14ac:dyDescent="0.55000000000000004">
      <c r="D266" s="3"/>
      <c r="T266" s="2"/>
    </row>
    <row r="267" spans="4:20" x14ac:dyDescent="0.55000000000000004">
      <c r="D267" s="3"/>
      <c r="T267" s="2"/>
    </row>
    <row r="268" spans="4:20" x14ac:dyDescent="0.55000000000000004">
      <c r="D268" s="3"/>
      <c r="T268" s="2"/>
    </row>
    <row r="269" spans="4:20" x14ac:dyDescent="0.55000000000000004">
      <c r="D269" s="3"/>
      <c r="T269" s="2"/>
    </row>
    <row r="270" spans="4:20" x14ac:dyDescent="0.55000000000000004">
      <c r="D270" s="3"/>
      <c r="T270" s="2"/>
    </row>
    <row r="271" spans="4:20" x14ac:dyDescent="0.55000000000000004">
      <c r="D271" s="3"/>
      <c r="T271" s="2"/>
    </row>
    <row r="272" spans="4:20" x14ac:dyDescent="0.55000000000000004">
      <c r="D272" s="3"/>
      <c r="T272" s="2"/>
    </row>
    <row r="273" spans="4:20" x14ac:dyDescent="0.55000000000000004">
      <c r="D273" s="3"/>
      <c r="T273" s="2"/>
    </row>
    <row r="274" spans="4:20" x14ac:dyDescent="0.55000000000000004">
      <c r="D274" s="3"/>
      <c r="T274" s="2"/>
    </row>
    <row r="275" spans="4:20" x14ac:dyDescent="0.55000000000000004">
      <c r="D275" s="3"/>
      <c r="T275" s="2"/>
    </row>
    <row r="276" spans="4:20" x14ac:dyDescent="0.55000000000000004">
      <c r="D276" s="3"/>
      <c r="T276" s="2"/>
    </row>
    <row r="277" spans="4:20" x14ac:dyDescent="0.55000000000000004">
      <c r="D277" s="3"/>
      <c r="T277" s="2"/>
    </row>
    <row r="278" spans="4:20" x14ac:dyDescent="0.55000000000000004">
      <c r="D278" s="3"/>
      <c r="T278" s="2"/>
    </row>
    <row r="279" spans="4:20" x14ac:dyDescent="0.55000000000000004">
      <c r="D279" s="3"/>
      <c r="T279" s="2"/>
    </row>
    <row r="280" spans="4:20" x14ac:dyDescent="0.55000000000000004">
      <c r="D280" s="3"/>
      <c r="T280" s="2"/>
    </row>
    <row r="281" spans="4:20" x14ac:dyDescent="0.55000000000000004">
      <c r="D281" s="3"/>
      <c r="T281" s="2"/>
    </row>
    <row r="282" spans="4:20" x14ac:dyDescent="0.55000000000000004">
      <c r="D282" s="3"/>
      <c r="T282" s="2"/>
    </row>
    <row r="283" spans="4:20" x14ac:dyDescent="0.55000000000000004">
      <c r="D283" s="3"/>
      <c r="T283" s="2"/>
    </row>
    <row r="284" spans="4:20" x14ac:dyDescent="0.55000000000000004">
      <c r="D284" s="3"/>
      <c r="T284" s="2"/>
    </row>
    <row r="285" spans="4:20" x14ac:dyDescent="0.55000000000000004">
      <c r="D285" s="3"/>
      <c r="T285" s="2"/>
    </row>
    <row r="286" spans="4:20" x14ac:dyDescent="0.55000000000000004">
      <c r="D286" s="3"/>
      <c r="T286" s="2"/>
    </row>
    <row r="287" spans="4:20" x14ac:dyDescent="0.55000000000000004">
      <c r="D287" s="3"/>
      <c r="T287" s="2"/>
    </row>
    <row r="288" spans="4:20" x14ac:dyDescent="0.55000000000000004">
      <c r="D288" s="3"/>
      <c r="T288" s="2"/>
    </row>
    <row r="289" spans="4:20" x14ac:dyDescent="0.55000000000000004">
      <c r="D289" s="3"/>
      <c r="T289" s="2"/>
    </row>
    <row r="290" spans="4:20" x14ac:dyDescent="0.55000000000000004">
      <c r="D290" s="3"/>
      <c r="T290" s="2"/>
    </row>
    <row r="291" spans="4:20" x14ac:dyDescent="0.55000000000000004">
      <c r="D291" s="3"/>
      <c r="T291" s="2"/>
    </row>
    <row r="292" spans="4:20" x14ac:dyDescent="0.55000000000000004">
      <c r="D292" s="3"/>
      <c r="T292" s="2"/>
    </row>
    <row r="293" spans="4:20" x14ac:dyDescent="0.55000000000000004">
      <c r="D293" s="3"/>
      <c r="T293" s="2"/>
    </row>
    <row r="294" spans="4:20" x14ac:dyDescent="0.55000000000000004">
      <c r="D294" s="3"/>
      <c r="T294" s="2"/>
    </row>
    <row r="295" spans="4:20" x14ac:dyDescent="0.55000000000000004">
      <c r="D295" s="3"/>
      <c r="T295" s="2"/>
    </row>
    <row r="296" spans="4:20" x14ac:dyDescent="0.55000000000000004">
      <c r="D296" s="3"/>
      <c r="T296" s="2"/>
    </row>
    <row r="297" spans="4:20" x14ac:dyDescent="0.55000000000000004">
      <c r="D297" s="3"/>
      <c r="T297" s="2"/>
    </row>
    <row r="298" spans="4:20" x14ac:dyDescent="0.55000000000000004">
      <c r="D298" s="3"/>
      <c r="T298" s="2"/>
    </row>
    <row r="299" spans="4:20" x14ac:dyDescent="0.55000000000000004">
      <c r="D299" s="3"/>
      <c r="T299" s="2"/>
    </row>
    <row r="300" spans="4:20" x14ac:dyDescent="0.55000000000000004">
      <c r="D300" s="3"/>
      <c r="T300" s="2"/>
    </row>
    <row r="301" spans="4:20" x14ac:dyDescent="0.55000000000000004">
      <c r="D301" s="3"/>
      <c r="T301" s="2"/>
    </row>
    <row r="302" spans="4:20" x14ac:dyDescent="0.55000000000000004">
      <c r="D302" s="3"/>
      <c r="T302" s="2"/>
    </row>
    <row r="303" spans="4:20" x14ac:dyDescent="0.55000000000000004">
      <c r="D303" s="3"/>
      <c r="T303" s="2"/>
    </row>
    <row r="304" spans="4:20" x14ac:dyDescent="0.55000000000000004">
      <c r="D304" s="3"/>
      <c r="T304" s="2"/>
    </row>
    <row r="305" spans="4:20" x14ac:dyDescent="0.55000000000000004">
      <c r="D305" s="3"/>
      <c r="T305" s="2"/>
    </row>
    <row r="306" spans="4:20" x14ac:dyDescent="0.55000000000000004">
      <c r="D306" s="3"/>
      <c r="T306" s="2"/>
    </row>
    <row r="307" spans="4:20" x14ac:dyDescent="0.55000000000000004">
      <c r="D307" s="3"/>
      <c r="T307" s="2"/>
    </row>
    <row r="308" spans="4:20" x14ac:dyDescent="0.55000000000000004">
      <c r="D308" s="3"/>
      <c r="T308" s="2"/>
    </row>
    <row r="309" spans="4:20" x14ac:dyDescent="0.55000000000000004">
      <c r="D309" s="3"/>
      <c r="T309" s="2"/>
    </row>
    <row r="310" spans="4:20" x14ac:dyDescent="0.55000000000000004">
      <c r="D310" s="3"/>
      <c r="T310" s="2"/>
    </row>
    <row r="311" spans="4:20" x14ac:dyDescent="0.55000000000000004">
      <c r="D311" s="3"/>
      <c r="T311" s="2"/>
    </row>
    <row r="312" spans="4:20" x14ac:dyDescent="0.55000000000000004">
      <c r="D312" s="3"/>
      <c r="T312" s="2"/>
    </row>
    <row r="313" spans="4:20" x14ac:dyDescent="0.55000000000000004">
      <c r="D313" s="3"/>
      <c r="T313" s="2"/>
    </row>
    <row r="314" spans="4:20" x14ac:dyDescent="0.55000000000000004">
      <c r="D314" s="3"/>
      <c r="T314" s="2"/>
    </row>
    <row r="315" spans="4:20" x14ac:dyDescent="0.55000000000000004">
      <c r="D315" s="3"/>
      <c r="T315" s="2"/>
    </row>
    <row r="316" spans="4:20" x14ac:dyDescent="0.55000000000000004">
      <c r="D316" s="3"/>
      <c r="T316" s="2"/>
    </row>
    <row r="317" spans="4:20" x14ac:dyDescent="0.55000000000000004">
      <c r="D317" s="3"/>
      <c r="T317" s="2"/>
    </row>
    <row r="318" spans="4:20" x14ac:dyDescent="0.55000000000000004">
      <c r="D318" s="3"/>
      <c r="T318" s="2"/>
    </row>
    <row r="319" spans="4:20" x14ac:dyDescent="0.55000000000000004">
      <c r="D319" s="3"/>
      <c r="T319" s="2"/>
    </row>
    <row r="320" spans="4:20" x14ac:dyDescent="0.55000000000000004">
      <c r="D320" s="3"/>
      <c r="T320" s="2"/>
    </row>
    <row r="321" spans="4:20" x14ac:dyDescent="0.55000000000000004">
      <c r="D321" s="3"/>
      <c r="T321" s="2"/>
    </row>
    <row r="322" spans="4:20" x14ac:dyDescent="0.55000000000000004">
      <c r="D322" s="3"/>
      <c r="T322" s="2"/>
    </row>
    <row r="323" spans="4:20" x14ac:dyDescent="0.55000000000000004">
      <c r="D323" s="3"/>
      <c r="T323" s="2"/>
    </row>
    <row r="324" spans="4:20" x14ac:dyDescent="0.55000000000000004">
      <c r="D324" s="3"/>
      <c r="T324" s="2"/>
    </row>
    <row r="325" spans="4:20" x14ac:dyDescent="0.55000000000000004">
      <c r="D325" s="3"/>
      <c r="T325" s="2"/>
    </row>
    <row r="326" spans="4:20" x14ac:dyDescent="0.55000000000000004">
      <c r="D326" s="3"/>
      <c r="T326" s="2"/>
    </row>
    <row r="327" spans="4:20" x14ac:dyDescent="0.55000000000000004">
      <c r="D327" s="3"/>
      <c r="T327" s="2"/>
    </row>
    <row r="328" spans="4:20" x14ac:dyDescent="0.55000000000000004">
      <c r="D328" s="3"/>
      <c r="T328" s="2"/>
    </row>
    <row r="329" spans="4:20" x14ac:dyDescent="0.55000000000000004">
      <c r="D329" s="3"/>
      <c r="T329" s="2"/>
    </row>
    <row r="330" spans="4:20" x14ac:dyDescent="0.55000000000000004">
      <c r="D330" s="3"/>
      <c r="T330" s="2"/>
    </row>
    <row r="331" spans="4:20" x14ac:dyDescent="0.55000000000000004">
      <c r="D331" s="3"/>
      <c r="T331" s="2"/>
    </row>
    <row r="332" spans="4:20" x14ac:dyDescent="0.55000000000000004">
      <c r="D332" s="3"/>
      <c r="T332" s="2"/>
    </row>
    <row r="333" spans="4:20" x14ac:dyDescent="0.55000000000000004">
      <c r="D333" s="3"/>
      <c r="T333" s="2"/>
    </row>
    <row r="334" spans="4:20" x14ac:dyDescent="0.55000000000000004">
      <c r="D334" s="3"/>
      <c r="T334" s="2"/>
    </row>
    <row r="335" spans="4:20" x14ac:dyDescent="0.55000000000000004">
      <c r="D335" s="3"/>
      <c r="T335" s="2"/>
    </row>
    <row r="336" spans="4:20" x14ac:dyDescent="0.55000000000000004">
      <c r="D336" s="3"/>
      <c r="T336" s="2"/>
    </row>
    <row r="337" spans="4:20" x14ac:dyDescent="0.55000000000000004">
      <c r="D337" s="3"/>
      <c r="T337" s="2"/>
    </row>
    <row r="338" spans="4:20" x14ac:dyDescent="0.55000000000000004">
      <c r="D338" s="3"/>
      <c r="T338" s="2"/>
    </row>
    <row r="339" spans="4:20" x14ac:dyDescent="0.55000000000000004">
      <c r="D339" s="3"/>
      <c r="T339" s="2"/>
    </row>
    <row r="340" spans="4:20" x14ac:dyDescent="0.55000000000000004">
      <c r="D340" s="3"/>
      <c r="T340" s="2"/>
    </row>
    <row r="341" spans="4:20" x14ac:dyDescent="0.55000000000000004">
      <c r="D341" s="3"/>
      <c r="T341" s="2"/>
    </row>
    <row r="342" spans="4:20" x14ac:dyDescent="0.55000000000000004">
      <c r="D342" s="3"/>
      <c r="T342" s="2"/>
    </row>
    <row r="343" spans="4:20" x14ac:dyDescent="0.55000000000000004">
      <c r="D343" s="3"/>
      <c r="T343" s="2"/>
    </row>
    <row r="344" spans="4:20" x14ac:dyDescent="0.55000000000000004">
      <c r="D344" s="3"/>
      <c r="T344" s="2"/>
    </row>
    <row r="345" spans="4:20" x14ac:dyDescent="0.55000000000000004">
      <c r="D345" s="3"/>
      <c r="T345" s="2"/>
    </row>
    <row r="346" spans="4:20" x14ac:dyDescent="0.55000000000000004">
      <c r="D346" s="3"/>
      <c r="T346" s="2"/>
    </row>
    <row r="347" spans="4:20" x14ac:dyDescent="0.55000000000000004">
      <c r="D347" s="3"/>
      <c r="T347" s="2"/>
    </row>
    <row r="348" spans="4:20" x14ac:dyDescent="0.55000000000000004">
      <c r="D348" s="3"/>
      <c r="T348" s="2"/>
    </row>
    <row r="349" spans="4:20" x14ac:dyDescent="0.55000000000000004">
      <c r="D349" s="3"/>
      <c r="T349" s="2"/>
    </row>
    <row r="350" spans="4:20" x14ac:dyDescent="0.55000000000000004">
      <c r="D350" s="3"/>
      <c r="T350" s="2"/>
    </row>
    <row r="351" spans="4:20" x14ac:dyDescent="0.55000000000000004">
      <c r="D351" s="3"/>
      <c r="T351" s="2"/>
    </row>
    <row r="352" spans="4:20" x14ac:dyDescent="0.55000000000000004">
      <c r="D352" s="3"/>
      <c r="T352" s="2"/>
    </row>
    <row r="353" spans="4:20" x14ac:dyDescent="0.55000000000000004">
      <c r="D353" s="3"/>
      <c r="T353" s="2"/>
    </row>
    <row r="354" spans="4:20" x14ac:dyDescent="0.55000000000000004">
      <c r="D354" s="3"/>
      <c r="T354" s="2"/>
    </row>
    <row r="355" spans="4:20" x14ac:dyDescent="0.55000000000000004">
      <c r="D355" s="3"/>
      <c r="T355" s="2"/>
    </row>
    <row r="356" spans="4:20" x14ac:dyDescent="0.55000000000000004">
      <c r="D356" s="3"/>
      <c r="T356" s="2"/>
    </row>
    <row r="357" spans="4:20" x14ac:dyDescent="0.55000000000000004">
      <c r="D357" s="3"/>
      <c r="T357" s="2"/>
    </row>
    <row r="358" spans="4:20" x14ac:dyDescent="0.55000000000000004">
      <c r="D358" s="3"/>
      <c r="T358" s="2"/>
    </row>
    <row r="359" spans="4:20" x14ac:dyDescent="0.55000000000000004">
      <c r="D359" s="3"/>
      <c r="T359" s="2"/>
    </row>
    <row r="360" spans="4:20" x14ac:dyDescent="0.55000000000000004">
      <c r="D360" s="3"/>
      <c r="T360" s="2"/>
    </row>
    <row r="361" spans="4:20" x14ac:dyDescent="0.55000000000000004">
      <c r="D361" s="3"/>
      <c r="T361" s="2"/>
    </row>
    <row r="362" spans="4:20" x14ac:dyDescent="0.55000000000000004">
      <c r="D362" s="3"/>
      <c r="T362" s="2"/>
    </row>
    <row r="363" spans="4:20" x14ac:dyDescent="0.55000000000000004">
      <c r="D363" s="3"/>
      <c r="T363" s="2"/>
    </row>
    <row r="364" spans="4:20" x14ac:dyDescent="0.55000000000000004">
      <c r="D364" s="3"/>
      <c r="T364" s="2"/>
    </row>
    <row r="365" spans="4:20" x14ac:dyDescent="0.55000000000000004">
      <c r="D365" s="3"/>
      <c r="T365" s="2"/>
    </row>
    <row r="366" spans="4:20" x14ac:dyDescent="0.55000000000000004">
      <c r="D366" s="3"/>
      <c r="T366" s="2"/>
    </row>
    <row r="367" spans="4:20" x14ac:dyDescent="0.55000000000000004">
      <c r="D367" s="3"/>
      <c r="T367" s="2"/>
    </row>
    <row r="368" spans="4:20" x14ac:dyDescent="0.55000000000000004">
      <c r="D368" s="3"/>
      <c r="T368" s="2"/>
    </row>
    <row r="369" spans="4:20" x14ac:dyDescent="0.55000000000000004">
      <c r="D369" s="3"/>
      <c r="T369" s="2"/>
    </row>
    <row r="370" spans="4:20" x14ac:dyDescent="0.55000000000000004">
      <c r="D370" s="3"/>
      <c r="T370" s="2"/>
    </row>
    <row r="371" spans="4:20" x14ac:dyDescent="0.55000000000000004">
      <c r="D371" s="3"/>
      <c r="T371" s="2"/>
    </row>
    <row r="372" spans="4:20" x14ac:dyDescent="0.55000000000000004">
      <c r="D372" s="3"/>
      <c r="T372" s="2"/>
    </row>
    <row r="373" spans="4:20" x14ac:dyDescent="0.55000000000000004">
      <c r="D373" s="3"/>
      <c r="T373" s="2"/>
    </row>
    <row r="374" spans="4:20" x14ac:dyDescent="0.55000000000000004">
      <c r="D374" s="3"/>
      <c r="T374" s="2"/>
    </row>
    <row r="375" spans="4:20" x14ac:dyDescent="0.55000000000000004">
      <c r="D375" s="3"/>
      <c r="T375" s="2"/>
    </row>
    <row r="376" spans="4:20" x14ac:dyDescent="0.55000000000000004">
      <c r="D376" s="3"/>
      <c r="T376" s="2"/>
    </row>
    <row r="377" spans="4:20" x14ac:dyDescent="0.55000000000000004">
      <c r="D377" s="3"/>
      <c r="T377" s="2"/>
    </row>
    <row r="378" spans="4:20" x14ac:dyDescent="0.55000000000000004">
      <c r="D378" s="3"/>
      <c r="T378" s="2"/>
    </row>
    <row r="379" spans="4:20" x14ac:dyDescent="0.55000000000000004">
      <c r="D379" s="3"/>
      <c r="T379" s="2"/>
    </row>
    <row r="380" spans="4:20" x14ac:dyDescent="0.55000000000000004">
      <c r="D380" s="3"/>
      <c r="T380" s="2"/>
    </row>
    <row r="381" spans="4:20" x14ac:dyDescent="0.55000000000000004">
      <c r="D381" s="3"/>
      <c r="T381" s="2"/>
    </row>
    <row r="382" spans="4:20" x14ac:dyDescent="0.55000000000000004">
      <c r="D382" s="3"/>
      <c r="T382" s="2"/>
    </row>
    <row r="383" spans="4:20" x14ac:dyDescent="0.55000000000000004">
      <c r="D383" s="3"/>
      <c r="T383" s="2"/>
    </row>
    <row r="384" spans="4:20" x14ac:dyDescent="0.55000000000000004">
      <c r="D384" s="3"/>
      <c r="T384" s="2"/>
    </row>
    <row r="385" spans="4:20" x14ac:dyDescent="0.55000000000000004">
      <c r="D385" s="3"/>
      <c r="T385" s="2"/>
    </row>
    <row r="386" spans="4:20" x14ac:dyDescent="0.55000000000000004">
      <c r="D386" s="3"/>
      <c r="T386" s="2"/>
    </row>
    <row r="387" spans="4:20" x14ac:dyDescent="0.55000000000000004">
      <c r="D387" s="3"/>
      <c r="T387" s="2"/>
    </row>
    <row r="388" spans="4:20" x14ac:dyDescent="0.55000000000000004">
      <c r="D388" s="3"/>
      <c r="T388" s="2"/>
    </row>
    <row r="389" spans="4:20" x14ac:dyDescent="0.55000000000000004">
      <c r="D389" s="3"/>
      <c r="T389" s="2"/>
    </row>
    <row r="390" spans="4:20" x14ac:dyDescent="0.55000000000000004">
      <c r="D390" s="3"/>
      <c r="T390" s="2"/>
    </row>
    <row r="391" spans="4:20" x14ac:dyDescent="0.55000000000000004">
      <c r="D391" s="3"/>
      <c r="T391" s="2"/>
    </row>
    <row r="392" spans="4:20" x14ac:dyDescent="0.55000000000000004">
      <c r="D392" s="3"/>
      <c r="T392" s="2"/>
    </row>
    <row r="393" spans="4:20" x14ac:dyDescent="0.55000000000000004">
      <c r="D393" s="3"/>
      <c r="T393" s="2"/>
    </row>
    <row r="394" spans="4:20" x14ac:dyDescent="0.55000000000000004">
      <c r="D394" s="3"/>
      <c r="T394" s="2"/>
    </row>
    <row r="395" spans="4:20" x14ac:dyDescent="0.55000000000000004">
      <c r="D395" s="3"/>
      <c r="T395" s="2"/>
    </row>
    <row r="396" spans="4:20" x14ac:dyDescent="0.55000000000000004">
      <c r="D396" s="3"/>
      <c r="T396" s="2"/>
    </row>
    <row r="397" spans="4:20" x14ac:dyDescent="0.55000000000000004">
      <c r="D397" s="3"/>
      <c r="T397" s="2"/>
    </row>
    <row r="398" spans="4:20" x14ac:dyDescent="0.55000000000000004">
      <c r="D398" s="3"/>
      <c r="T398" s="2"/>
    </row>
    <row r="399" spans="4:20" x14ac:dyDescent="0.55000000000000004">
      <c r="D399" s="3"/>
      <c r="T399" s="2"/>
    </row>
    <row r="400" spans="4:20" x14ac:dyDescent="0.55000000000000004">
      <c r="D400" s="3"/>
      <c r="T400" s="2"/>
    </row>
    <row r="401" spans="4:20" x14ac:dyDescent="0.55000000000000004">
      <c r="D401" s="3"/>
      <c r="T401" s="2"/>
    </row>
    <row r="402" spans="4:20" x14ac:dyDescent="0.55000000000000004">
      <c r="D402" s="3"/>
      <c r="T402" s="2"/>
    </row>
    <row r="403" spans="4:20" x14ac:dyDescent="0.55000000000000004">
      <c r="D403" s="3"/>
      <c r="T403" s="2"/>
    </row>
    <row r="404" spans="4:20" x14ac:dyDescent="0.55000000000000004">
      <c r="D404" s="3"/>
      <c r="T404" s="2"/>
    </row>
    <row r="405" spans="4:20" x14ac:dyDescent="0.55000000000000004">
      <c r="D405" s="3"/>
      <c r="T405" s="2"/>
    </row>
    <row r="406" spans="4:20" x14ac:dyDescent="0.55000000000000004">
      <c r="D406" s="3"/>
      <c r="T406" s="2"/>
    </row>
    <row r="407" spans="4:20" x14ac:dyDescent="0.55000000000000004">
      <c r="D407" s="3"/>
      <c r="T407" s="2"/>
    </row>
    <row r="408" spans="4:20" x14ac:dyDescent="0.55000000000000004">
      <c r="D408" s="3"/>
      <c r="T408" s="2"/>
    </row>
    <row r="409" spans="4:20" x14ac:dyDescent="0.55000000000000004">
      <c r="D409" s="3"/>
      <c r="T409" s="2"/>
    </row>
    <row r="410" spans="4:20" x14ac:dyDescent="0.55000000000000004">
      <c r="D410" s="3"/>
      <c r="T410" s="2"/>
    </row>
    <row r="411" spans="4:20" x14ac:dyDescent="0.55000000000000004">
      <c r="D411" s="3"/>
      <c r="T411" s="2"/>
    </row>
    <row r="412" spans="4:20" x14ac:dyDescent="0.55000000000000004">
      <c r="D412" s="3"/>
      <c r="T412" s="2"/>
    </row>
    <row r="413" spans="4:20" x14ac:dyDescent="0.55000000000000004">
      <c r="D413" s="3"/>
      <c r="T413" s="2"/>
    </row>
    <row r="414" spans="4:20" x14ac:dyDescent="0.55000000000000004">
      <c r="D414" s="3"/>
      <c r="T414" s="2"/>
    </row>
    <row r="415" spans="4:20" x14ac:dyDescent="0.55000000000000004">
      <c r="D415" s="3"/>
      <c r="T415" s="2"/>
    </row>
    <row r="416" spans="4:20" x14ac:dyDescent="0.55000000000000004">
      <c r="D416" s="3"/>
      <c r="T416" s="2"/>
    </row>
    <row r="417" spans="4:20" x14ac:dyDescent="0.55000000000000004">
      <c r="D417" s="3"/>
      <c r="T417" s="2"/>
    </row>
    <row r="418" spans="4:20" x14ac:dyDescent="0.55000000000000004">
      <c r="D418" s="3"/>
      <c r="T418" s="2"/>
    </row>
    <row r="419" spans="4:20" x14ac:dyDescent="0.55000000000000004">
      <c r="D419" s="3"/>
      <c r="T419" s="2"/>
    </row>
    <row r="420" spans="4:20" x14ac:dyDescent="0.55000000000000004">
      <c r="D420" s="3"/>
      <c r="T420" s="2"/>
    </row>
    <row r="421" spans="4:20" x14ac:dyDescent="0.55000000000000004">
      <c r="D421" s="3"/>
      <c r="T421" s="2"/>
    </row>
    <row r="422" spans="4:20" x14ac:dyDescent="0.55000000000000004">
      <c r="D422" s="3"/>
      <c r="T422" s="2"/>
    </row>
    <row r="423" spans="4:20" x14ac:dyDescent="0.55000000000000004">
      <c r="D423" s="3"/>
      <c r="T423" s="2"/>
    </row>
    <row r="424" spans="4:20" x14ac:dyDescent="0.55000000000000004">
      <c r="D424" s="3"/>
      <c r="T424" s="2"/>
    </row>
    <row r="425" spans="4:20" x14ac:dyDescent="0.55000000000000004">
      <c r="D425" s="3"/>
      <c r="T425" s="2"/>
    </row>
    <row r="426" spans="4:20" x14ac:dyDescent="0.55000000000000004">
      <c r="D426" s="3"/>
      <c r="T426" s="2"/>
    </row>
    <row r="427" spans="4:20" x14ac:dyDescent="0.55000000000000004">
      <c r="D427" s="3"/>
      <c r="T427" s="2"/>
    </row>
    <row r="428" spans="4:20" x14ac:dyDescent="0.55000000000000004">
      <c r="D428" s="3"/>
      <c r="T428" s="2"/>
    </row>
    <row r="429" spans="4:20" x14ac:dyDescent="0.55000000000000004">
      <c r="D429" s="3"/>
      <c r="T429" s="2"/>
    </row>
    <row r="430" spans="4:20" x14ac:dyDescent="0.55000000000000004">
      <c r="D430" s="3"/>
      <c r="T430" s="2"/>
    </row>
    <row r="431" spans="4:20" x14ac:dyDescent="0.55000000000000004">
      <c r="D431" s="3"/>
      <c r="T431" s="2"/>
    </row>
    <row r="432" spans="4:20" x14ac:dyDescent="0.55000000000000004">
      <c r="D432" s="3"/>
      <c r="T432" s="2"/>
    </row>
    <row r="433" spans="4:20" x14ac:dyDescent="0.55000000000000004">
      <c r="D433" s="3"/>
      <c r="T433" s="2"/>
    </row>
    <row r="434" spans="4:20" x14ac:dyDescent="0.55000000000000004">
      <c r="D434" s="3"/>
      <c r="T434" s="2"/>
    </row>
    <row r="435" spans="4:20" x14ac:dyDescent="0.55000000000000004">
      <c r="D435" s="3"/>
      <c r="T435" s="2"/>
    </row>
    <row r="436" spans="4:20" x14ac:dyDescent="0.55000000000000004">
      <c r="D436" s="3"/>
      <c r="T436" s="2"/>
    </row>
    <row r="437" spans="4:20" x14ac:dyDescent="0.55000000000000004">
      <c r="D437" s="3"/>
      <c r="T437" s="2"/>
    </row>
    <row r="438" spans="4:20" x14ac:dyDescent="0.55000000000000004">
      <c r="D438" s="3"/>
      <c r="T438" s="2"/>
    </row>
    <row r="439" spans="4:20" x14ac:dyDescent="0.55000000000000004">
      <c r="D439" s="3"/>
      <c r="T439" s="2"/>
    </row>
    <row r="440" spans="4:20" x14ac:dyDescent="0.55000000000000004">
      <c r="D440" s="3"/>
      <c r="T440" s="2"/>
    </row>
    <row r="441" spans="4:20" x14ac:dyDescent="0.55000000000000004">
      <c r="D441" s="3"/>
      <c r="T441" s="2"/>
    </row>
    <row r="442" spans="4:20" x14ac:dyDescent="0.55000000000000004">
      <c r="D442" s="3"/>
      <c r="T442" s="2"/>
    </row>
    <row r="443" spans="4:20" x14ac:dyDescent="0.55000000000000004">
      <c r="D443" s="3"/>
      <c r="T443" s="2"/>
    </row>
    <row r="444" spans="4:20" x14ac:dyDescent="0.55000000000000004">
      <c r="D444" s="3"/>
      <c r="T444" s="2"/>
    </row>
    <row r="445" spans="4:20" x14ac:dyDescent="0.55000000000000004">
      <c r="D445" s="3"/>
      <c r="T445" s="2"/>
    </row>
    <row r="446" spans="4:20" x14ac:dyDescent="0.55000000000000004">
      <c r="D446" s="3"/>
      <c r="T446" s="2"/>
    </row>
    <row r="447" spans="4:20" x14ac:dyDescent="0.55000000000000004">
      <c r="D447" s="3"/>
      <c r="T447" s="2"/>
    </row>
    <row r="448" spans="4:20" x14ac:dyDescent="0.55000000000000004">
      <c r="D448" s="3"/>
      <c r="T448" s="2"/>
    </row>
    <row r="449" spans="4:20" x14ac:dyDescent="0.55000000000000004">
      <c r="D449" s="3"/>
      <c r="T449" s="2"/>
    </row>
    <row r="450" spans="4:20" x14ac:dyDescent="0.55000000000000004">
      <c r="D450" s="3"/>
      <c r="T450" s="2"/>
    </row>
    <row r="451" spans="4:20" x14ac:dyDescent="0.55000000000000004">
      <c r="D451" s="3"/>
      <c r="T451" s="2"/>
    </row>
    <row r="452" spans="4:20" x14ac:dyDescent="0.55000000000000004">
      <c r="D452" s="3"/>
      <c r="T452" s="2"/>
    </row>
    <row r="453" spans="4:20" x14ac:dyDescent="0.55000000000000004">
      <c r="D453" s="3"/>
      <c r="T453" s="2"/>
    </row>
    <row r="454" spans="4:20" x14ac:dyDescent="0.55000000000000004">
      <c r="D454" s="3"/>
      <c r="T454" s="2"/>
    </row>
    <row r="455" spans="4:20" x14ac:dyDescent="0.55000000000000004">
      <c r="D455" s="3"/>
      <c r="T455" s="2"/>
    </row>
    <row r="456" spans="4:20" x14ac:dyDescent="0.55000000000000004">
      <c r="D456" s="3"/>
      <c r="T456" s="2"/>
    </row>
    <row r="457" spans="4:20" x14ac:dyDescent="0.55000000000000004">
      <c r="D457" s="3"/>
      <c r="T457" s="2"/>
    </row>
    <row r="458" spans="4:20" x14ac:dyDescent="0.55000000000000004">
      <c r="D458" s="3"/>
      <c r="T458" s="2"/>
    </row>
    <row r="459" spans="4:20" x14ac:dyDescent="0.55000000000000004">
      <c r="D459" s="3"/>
      <c r="T459" s="2"/>
    </row>
    <row r="460" spans="4:20" x14ac:dyDescent="0.55000000000000004">
      <c r="D460" s="3"/>
      <c r="T460" s="2"/>
    </row>
    <row r="461" spans="4:20" x14ac:dyDescent="0.55000000000000004">
      <c r="D461" s="3"/>
      <c r="T461" s="2"/>
    </row>
    <row r="462" spans="4:20" x14ac:dyDescent="0.55000000000000004">
      <c r="D462" s="3"/>
      <c r="T462" s="2"/>
    </row>
    <row r="463" spans="4:20" x14ac:dyDescent="0.55000000000000004">
      <c r="D463" s="3"/>
      <c r="T463" s="2"/>
    </row>
    <row r="464" spans="4:20" x14ac:dyDescent="0.55000000000000004">
      <c r="D464" s="3"/>
      <c r="T464" s="2"/>
    </row>
    <row r="465" spans="4:20" x14ac:dyDescent="0.55000000000000004">
      <c r="D465" s="3"/>
      <c r="T465" s="2"/>
    </row>
    <row r="466" spans="4:20" x14ac:dyDescent="0.55000000000000004">
      <c r="D466" s="3"/>
      <c r="T466" s="2"/>
    </row>
    <row r="467" spans="4:20" x14ac:dyDescent="0.55000000000000004">
      <c r="D467" s="3"/>
      <c r="T467" s="2"/>
    </row>
    <row r="468" spans="4:20" x14ac:dyDescent="0.55000000000000004">
      <c r="D468" s="3"/>
      <c r="T468" s="2"/>
    </row>
    <row r="469" spans="4:20" x14ac:dyDescent="0.55000000000000004">
      <c r="D469" s="3"/>
      <c r="T469" s="2"/>
    </row>
    <row r="470" spans="4:20" x14ac:dyDescent="0.55000000000000004">
      <c r="D470" s="3"/>
      <c r="T470" s="2"/>
    </row>
    <row r="471" spans="4:20" x14ac:dyDescent="0.55000000000000004">
      <c r="D471" s="3"/>
      <c r="T471" s="2"/>
    </row>
    <row r="472" spans="4:20" x14ac:dyDescent="0.55000000000000004">
      <c r="D472" s="3"/>
      <c r="T472" s="2"/>
    </row>
    <row r="473" spans="4:20" x14ac:dyDescent="0.55000000000000004">
      <c r="D473" s="3"/>
      <c r="T473" s="2"/>
    </row>
    <row r="474" spans="4:20" x14ac:dyDescent="0.55000000000000004">
      <c r="D474" s="3"/>
      <c r="T474" s="2"/>
    </row>
    <row r="475" spans="4:20" x14ac:dyDescent="0.55000000000000004">
      <c r="D475" s="3"/>
      <c r="T475" s="2"/>
    </row>
    <row r="476" spans="4:20" x14ac:dyDescent="0.55000000000000004">
      <c r="D476" s="3"/>
      <c r="T476" s="2"/>
    </row>
    <row r="477" spans="4:20" x14ac:dyDescent="0.55000000000000004">
      <c r="D477" s="3"/>
      <c r="T477" s="2"/>
    </row>
    <row r="478" spans="4:20" x14ac:dyDescent="0.55000000000000004">
      <c r="D478" s="3"/>
      <c r="T478" s="2"/>
    </row>
    <row r="479" spans="4:20" x14ac:dyDescent="0.55000000000000004">
      <c r="D479" s="3"/>
      <c r="T479" s="2"/>
    </row>
    <row r="480" spans="4:20" x14ac:dyDescent="0.55000000000000004">
      <c r="D480" s="3"/>
      <c r="T480" s="2"/>
    </row>
    <row r="481" spans="4:20" x14ac:dyDescent="0.55000000000000004">
      <c r="D481" s="3"/>
      <c r="T481" s="2"/>
    </row>
    <row r="482" spans="4:20" x14ac:dyDescent="0.55000000000000004">
      <c r="D482" s="3"/>
      <c r="T482" s="2"/>
    </row>
    <row r="483" spans="4:20" x14ac:dyDescent="0.55000000000000004">
      <c r="D483" s="3"/>
      <c r="T483" s="2"/>
    </row>
    <row r="484" spans="4:20" x14ac:dyDescent="0.55000000000000004">
      <c r="D484" s="3"/>
      <c r="T484" s="2"/>
    </row>
    <row r="485" spans="4:20" x14ac:dyDescent="0.55000000000000004">
      <c r="D485" s="3"/>
      <c r="T485" s="2"/>
    </row>
    <row r="486" spans="4:20" x14ac:dyDescent="0.55000000000000004">
      <c r="D486" s="3"/>
      <c r="T486" s="2"/>
    </row>
    <row r="487" spans="4:20" x14ac:dyDescent="0.55000000000000004">
      <c r="D487" s="3"/>
      <c r="T487" s="2"/>
    </row>
    <row r="488" spans="4:20" x14ac:dyDescent="0.55000000000000004">
      <c r="D488" s="3"/>
      <c r="T488" s="2"/>
    </row>
    <row r="489" spans="4:20" x14ac:dyDescent="0.55000000000000004">
      <c r="D489" s="3"/>
      <c r="T489" s="2"/>
    </row>
    <row r="490" spans="4:20" x14ac:dyDescent="0.55000000000000004">
      <c r="D490" s="3"/>
      <c r="T490" s="2"/>
    </row>
    <row r="491" spans="4:20" x14ac:dyDescent="0.55000000000000004">
      <c r="D491" s="3"/>
      <c r="T491" s="2"/>
    </row>
    <row r="492" spans="4:20" x14ac:dyDescent="0.55000000000000004">
      <c r="D492" s="3"/>
      <c r="T492" s="2"/>
    </row>
    <row r="493" spans="4:20" x14ac:dyDescent="0.55000000000000004">
      <c r="D493" s="3"/>
      <c r="T493" s="2"/>
    </row>
    <row r="494" spans="4:20" x14ac:dyDescent="0.55000000000000004">
      <c r="D494" s="3"/>
      <c r="T494" s="2"/>
    </row>
    <row r="495" spans="4:20" x14ac:dyDescent="0.55000000000000004">
      <c r="D495" s="3"/>
      <c r="T495" s="2"/>
    </row>
    <row r="496" spans="4:20" x14ac:dyDescent="0.55000000000000004">
      <c r="D496" s="3"/>
      <c r="T496" s="2"/>
    </row>
    <row r="497" spans="4:20" x14ac:dyDescent="0.55000000000000004">
      <c r="D497" s="3"/>
      <c r="T497" s="2"/>
    </row>
    <row r="498" spans="4:20" x14ac:dyDescent="0.55000000000000004">
      <c r="D498" s="3"/>
      <c r="T498" s="2"/>
    </row>
    <row r="499" spans="4:20" x14ac:dyDescent="0.55000000000000004">
      <c r="D499" s="3"/>
      <c r="T499" s="2"/>
    </row>
    <row r="500" spans="4:20" x14ac:dyDescent="0.55000000000000004">
      <c r="D500" s="3"/>
      <c r="T500" s="2"/>
    </row>
    <row r="501" spans="4:20" x14ac:dyDescent="0.55000000000000004">
      <c r="D501" s="3"/>
      <c r="T501" s="2"/>
    </row>
    <row r="502" spans="4:20" x14ac:dyDescent="0.55000000000000004">
      <c r="D502" s="3"/>
      <c r="T502" s="2"/>
    </row>
    <row r="503" spans="4:20" x14ac:dyDescent="0.55000000000000004">
      <c r="D503" s="3"/>
      <c r="T503" s="2"/>
    </row>
    <row r="504" spans="4:20" x14ac:dyDescent="0.55000000000000004">
      <c r="D504" s="3"/>
      <c r="T504" s="2"/>
    </row>
    <row r="505" spans="4:20" x14ac:dyDescent="0.55000000000000004">
      <c r="D505" s="3"/>
      <c r="T505" s="2"/>
    </row>
    <row r="506" spans="4:20" x14ac:dyDescent="0.55000000000000004">
      <c r="D506" s="3"/>
      <c r="T506" s="2"/>
    </row>
    <row r="507" spans="4:20" x14ac:dyDescent="0.55000000000000004">
      <c r="D507" s="3"/>
      <c r="T507" s="2"/>
    </row>
    <row r="508" spans="4:20" x14ac:dyDescent="0.55000000000000004">
      <c r="D508" s="3"/>
      <c r="T508" s="2"/>
    </row>
    <row r="509" spans="4:20" x14ac:dyDescent="0.55000000000000004">
      <c r="D509" s="3"/>
      <c r="T509" s="2"/>
    </row>
    <row r="510" spans="4:20" x14ac:dyDescent="0.55000000000000004">
      <c r="D510" s="3"/>
      <c r="T510" s="2"/>
    </row>
    <row r="511" spans="4:20" x14ac:dyDescent="0.55000000000000004">
      <c r="D511" s="3"/>
      <c r="T511" s="2"/>
    </row>
    <row r="512" spans="4:20" x14ac:dyDescent="0.55000000000000004">
      <c r="D512" s="3"/>
      <c r="T512" s="2"/>
    </row>
    <row r="513" spans="4:20" x14ac:dyDescent="0.55000000000000004">
      <c r="D513" s="3"/>
      <c r="T513" s="2"/>
    </row>
    <row r="514" spans="4:20" x14ac:dyDescent="0.55000000000000004">
      <c r="D514" s="3"/>
      <c r="T514" s="2"/>
    </row>
    <row r="515" spans="4:20" x14ac:dyDescent="0.55000000000000004">
      <c r="D515" s="3"/>
      <c r="T515" s="2"/>
    </row>
    <row r="516" spans="4:20" x14ac:dyDescent="0.55000000000000004">
      <c r="D516" s="3"/>
      <c r="T516" s="2"/>
    </row>
    <row r="517" spans="4:20" x14ac:dyDescent="0.55000000000000004">
      <c r="D517" s="3"/>
      <c r="T517" s="2"/>
    </row>
    <row r="518" spans="4:20" x14ac:dyDescent="0.55000000000000004">
      <c r="D518" s="3"/>
      <c r="T518" s="2"/>
    </row>
    <row r="519" spans="4:20" x14ac:dyDescent="0.55000000000000004">
      <c r="D519" s="3"/>
      <c r="T519" s="2"/>
    </row>
    <row r="520" spans="4:20" x14ac:dyDescent="0.55000000000000004">
      <c r="D520" s="3"/>
      <c r="T520" s="2"/>
    </row>
    <row r="521" spans="4:20" x14ac:dyDescent="0.55000000000000004">
      <c r="D521" s="3"/>
      <c r="T521" s="2"/>
    </row>
    <row r="522" spans="4:20" x14ac:dyDescent="0.55000000000000004">
      <c r="D522" s="3"/>
      <c r="T522" s="2"/>
    </row>
    <row r="523" spans="4:20" x14ac:dyDescent="0.55000000000000004">
      <c r="D523" s="3"/>
      <c r="T523" s="2"/>
    </row>
    <row r="524" spans="4:20" x14ac:dyDescent="0.55000000000000004">
      <c r="D524" s="3"/>
      <c r="T524" s="2"/>
    </row>
    <row r="525" spans="4:20" x14ac:dyDescent="0.55000000000000004">
      <c r="D525" s="3"/>
      <c r="T525" s="2"/>
    </row>
    <row r="526" spans="4:20" x14ac:dyDescent="0.55000000000000004">
      <c r="D526" s="3"/>
      <c r="T526" s="2"/>
    </row>
    <row r="527" spans="4:20" x14ac:dyDescent="0.55000000000000004">
      <c r="D527" s="3"/>
      <c r="T527" s="2"/>
    </row>
    <row r="528" spans="4:20" x14ac:dyDescent="0.55000000000000004">
      <c r="D528" s="3"/>
      <c r="T528" s="2"/>
    </row>
    <row r="529" spans="4:20" x14ac:dyDescent="0.55000000000000004">
      <c r="D529" s="3"/>
      <c r="T529" s="2"/>
    </row>
    <row r="530" spans="4:20" x14ac:dyDescent="0.55000000000000004">
      <c r="D530" s="3"/>
      <c r="T530" s="2"/>
    </row>
    <row r="531" spans="4:20" x14ac:dyDescent="0.55000000000000004">
      <c r="D531" s="3"/>
      <c r="T531" s="2"/>
    </row>
    <row r="532" spans="4:20" x14ac:dyDescent="0.55000000000000004">
      <c r="D532" s="3"/>
      <c r="T532" s="2"/>
    </row>
    <row r="533" spans="4:20" x14ac:dyDescent="0.55000000000000004">
      <c r="D533" s="3"/>
      <c r="T533" s="2"/>
    </row>
    <row r="534" spans="4:20" x14ac:dyDescent="0.55000000000000004">
      <c r="D534" s="3"/>
      <c r="T534" s="2"/>
    </row>
    <row r="535" spans="4:20" x14ac:dyDescent="0.55000000000000004">
      <c r="D535" s="3"/>
      <c r="T535" s="2"/>
    </row>
    <row r="536" spans="4:20" x14ac:dyDescent="0.55000000000000004">
      <c r="D536" s="3"/>
      <c r="T536" s="2"/>
    </row>
    <row r="537" spans="4:20" x14ac:dyDescent="0.55000000000000004">
      <c r="D537" s="3"/>
      <c r="T537" s="2"/>
    </row>
    <row r="538" spans="4:20" x14ac:dyDescent="0.55000000000000004">
      <c r="D538" s="3"/>
      <c r="T538" s="2"/>
    </row>
    <row r="539" spans="4:20" x14ac:dyDescent="0.55000000000000004">
      <c r="D539" s="3"/>
      <c r="T539" s="2"/>
    </row>
    <row r="540" spans="4:20" x14ac:dyDescent="0.55000000000000004">
      <c r="D540" s="3"/>
      <c r="T540" s="2"/>
    </row>
    <row r="541" spans="4:20" x14ac:dyDescent="0.55000000000000004">
      <c r="D541" s="3"/>
      <c r="T541" s="2"/>
    </row>
    <row r="542" spans="4:20" x14ac:dyDescent="0.55000000000000004">
      <c r="D542" s="3"/>
      <c r="T542" s="2"/>
    </row>
    <row r="543" spans="4:20" x14ac:dyDescent="0.55000000000000004">
      <c r="D543" s="3"/>
      <c r="T543" s="2"/>
    </row>
    <row r="544" spans="4:20" x14ac:dyDescent="0.55000000000000004">
      <c r="D544" s="3"/>
      <c r="T544" s="2"/>
    </row>
    <row r="545" spans="4:20" x14ac:dyDescent="0.55000000000000004">
      <c r="D545" s="3"/>
      <c r="T545" s="2"/>
    </row>
    <row r="546" spans="4:20" x14ac:dyDescent="0.55000000000000004">
      <c r="D546" s="3"/>
      <c r="T546" s="2"/>
    </row>
    <row r="547" spans="4:20" x14ac:dyDescent="0.55000000000000004">
      <c r="D547" s="3"/>
      <c r="T547" s="2"/>
    </row>
    <row r="548" spans="4:20" x14ac:dyDescent="0.55000000000000004">
      <c r="D548" s="3"/>
      <c r="T548" s="2"/>
    </row>
    <row r="549" spans="4:20" x14ac:dyDescent="0.55000000000000004">
      <c r="D549" s="3"/>
      <c r="T549" s="2"/>
    </row>
    <row r="550" spans="4:20" x14ac:dyDescent="0.55000000000000004">
      <c r="D550" s="3"/>
      <c r="T550" s="2"/>
    </row>
    <row r="551" spans="4:20" x14ac:dyDescent="0.55000000000000004">
      <c r="D551" s="3"/>
      <c r="T551" s="2"/>
    </row>
    <row r="552" spans="4:20" x14ac:dyDescent="0.55000000000000004">
      <c r="D552" s="3"/>
      <c r="T552" s="2"/>
    </row>
    <row r="553" spans="4:20" x14ac:dyDescent="0.55000000000000004">
      <c r="D553" s="3"/>
      <c r="T55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 Thomas Henri Hans</dc:creator>
  <cp:lastModifiedBy>Jordan  Thomas Henri Hans</cp:lastModifiedBy>
  <dcterms:created xsi:type="dcterms:W3CDTF">2015-06-05T18:19:34Z</dcterms:created>
  <dcterms:modified xsi:type="dcterms:W3CDTF">2026-04-11T01:14:28Z</dcterms:modified>
</cp:coreProperties>
</file>